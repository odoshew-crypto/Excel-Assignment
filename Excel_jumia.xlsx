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0.xml" ContentType="application/vnd.openxmlformats-officedocument.spreadsheetml.pivotTable+xml"/>
  <Override PartName="/xl/drawings/drawing7.xml" ContentType="application/vnd.openxmlformats-officedocument.drawing+xml"/>
  <Override PartName="/xl/slicers/slicer7.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slicers/slicer8.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D:\Projects\Excel\"/>
    </mc:Choice>
  </mc:AlternateContent>
  <xr:revisionPtr revIDLastSave="0" documentId="8_{DF855DCE-0607-42EC-84E8-AA68CE9F2EFB}" xr6:coauthVersionLast="47" xr6:coauthVersionMax="47" xr10:uidLastSave="{00000000-0000-0000-0000-000000000000}"/>
  <bookViews>
    <workbookView xWindow="-110" yWindow="-110" windowWidth="19420" windowHeight="10300" firstSheet="10" activeTab="11" xr2:uid="{3D3D6E57-230F-41BF-B2FF-DBE48F88D319}"/>
  </bookViews>
  <sheets>
    <sheet name="Average Rting by Discount and c" sheetId="5" r:id="rId1"/>
    <sheet name="product count" sheetId="6" r:id="rId2"/>
    <sheet name="Relationship(dis and Reviews" sheetId="7" r:id="rId3"/>
    <sheet name="Sheet17" sheetId="21" r:id="rId4"/>
    <sheet name="Rating and Review" sheetId="8" r:id="rId5"/>
    <sheet name="10 Products with high D" sheetId="11" r:id="rId6"/>
    <sheet name="10 products with more views" sheetId="12" r:id="rId7"/>
    <sheet name="TOP 5 AND BOTTOM 5" sheetId="13" r:id="rId8"/>
    <sheet name="AVG RATING BY REVIEWS ON DISC" sheetId="14" r:id="rId9"/>
    <sheet name="PRODUCT CONT TO AVERAGE R" sheetId="15" r:id="rId10"/>
    <sheet name="Avg Disc and COUNT OF Reviews" sheetId="18" r:id="rId11"/>
    <sheet name="Dahbord" sheetId="19" r:id="rId12"/>
    <sheet name="Excel_jumia" sheetId="1" r:id="rId13"/>
    <sheet name="Product price  comparison" sheetId="2" r:id="rId14"/>
    <sheet name="Sheet18" sheetId="23" r:id="rId15"/>
  </sheets>
  <definedNames>
    <definedName name="_xlnm._FilterDatabase" localSheetId="13" hidden="1">'Product price  comparison'!$B$1:$B$111</definedName>
    <definedName name="Slicer_Discount1">#N/A</definedName>
    <definedName name="Slicer_Dscount_Category">#N/A</definedName>
    <definedName name="Slicer_Product">#N/A</definedName>
    <definedName name="Slicer_Rating1">#N/A</definedName>
    <definedName name="Slicer_Review">#N/A</definedName>
  </definedNames>
  <calcPr calcId="0"/>
  <pivotCaches>
    <pivotCache cacheId="88" r:id="rId16"/>
    <pivotCache cacheId="86" r:id="rId17"/>
  </pivotCaches>
  <extLst>
    <ext xmlns:x14="http://schemas.microsoft.com/office/spreadsheetml/2009/9/main" uri="{BBE1A952-AA13-448e-AADC-164F8A28A991}">
      <x14:slicerCaches>
        <x14:slicerCache r:id="rId18"/>
        <x14:slicerCache r:id="rId19"/>
        <x14:slicerCache r:id="rId20"/>
        <x14:slicerCache r:id="rId21"/>
        <x14:slicerCache r:id="rId22"/>
      </x14:slicerCaches>
    </ext>
    <ext xmlns:x14="http://schemas.microsoft.com/office/spreadsheetml/2009/9/main" uri="{79F54976-1DA5-4618-B147-4CDE4B953A38}">
      <x14:workbookPr/>
    </ext>
  </extLst>
</workbook>
</file>

<file path=xl/calcChain.xml><?xml version="1.0" encoding="utf-8"?>
<calcChain xmlns="http://schemas.openxmlformats.org/spreadsheetml/2006/main">
  <c r="B49" i="2" l="1"/>
  <c r="F111" i="1"/>
  <c r="D111" i="1"/>
  <c r="C111" i="1"/>
  <c r="B111" i="1"/>
  <c r="I107" i="1"/>
  <c r="I108" i="1"/>
  <c r="I109" i="1"/>
  <c r="I110"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2" i="1"/>
  <c r="I3" i="1"/>
  <c r="I4" i="1"/>
  <c r="I5" i="1"/>
  <c r="I6" i="1"/>
  <c r="H2" i="1"/>
  <c r="H23" i="1"/>
  <c r="H104" i="1"/>
  <c r="G2" i="1" a="1"/>
  <c r="G2" i="1" s="1"/>
  <c r="H3" i="1"/>
  <c r="H4" i="1"/>
  <c r="H5" i="1"/>
  <c r="H6" i="1"/>
  <c r="H7" i="1"/>
  <c r="H8" i="1"/>
  <c r="H9" i="1"/>
  <c r="H10" i="1"/>
  <c r="H11" i="1"/>
  <c r="H12" i="1"/>
  <c r="H13" i="1"/>
  <c r="H14" i="1"/>
  <c r="H15" i="1"/>
  <c r="H16" i="1"/>
  <c r="H17" i="1"/>
  <c r="H18" i="1"/>
  <c r="H19" i="1"/>
  <c r="H20" i="1"/>
  <c r="H21" i="1"/>
  <c r="H22"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5" i="1"/>
  <c r="H106" i="1"/>
  <c r="H107" i="1"/>
  <c r="H108" i="1"/>
  <c r="H109" i="1"/>
  <c r="H110"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<sst xmlns="http://schemas.openxmlformats.org/spreadsheetml/2006/main" count="776" uniqueCount="145">
  <si>
    <t>Product</t>
  </si>
  <si>
    <t>Current price</t>
  </si>
  <si>
    <t>old price</t>
  </si>
  <si>
    <t>Discount</t>
  </si>
  <si>
    <t>Review</t>
  </si>
  <si>
    <t>115  Piece Set Of Multifunctional Precision Screwdrivers</t>
  </si>
  <si>
    <t>Metal Decorative Hooks Key Hangers Entryway Wall Hooks Towel Hooks - Home</t>
  </si>
  <si>
    <t>Portable Mini Cordless Car Vacuum Cleaner - Blue</t>
  </si>
  <si>
    <t>Weighing Scale Digital Bathroom Body Fat Scale USB-Black</t>
  </si>
  <si>
    <t>Portable Home Small Air Humidifier 3-Speed Fan - Green</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</si>
  <si>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</si>
  <si>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</si>
  <si>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</si>
  <si>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</si>
  <si>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</si>
  <si>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</si>
  <si>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</si>
  <si>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</si>
  <si>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</si>
  <si>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</si>
  <si>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</si>
  <si>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</si>
  <si>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</si>
  <si>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</si>
  <si>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</si>
  <si>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</si>
  <si>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</si>
  <si>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</si>
  <si>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</si>
  <si>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</si>
  <si>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</si>
  <si>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</si>
  <si>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</si>
  <si>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</si>
  <si>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MultiFunctional Storage Rack Multi-layer Bookshelf</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</si>
  <si>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</si>
  <si>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</si>
  <si>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</si>
  <si>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</si>
  <si>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</si>
  <si>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</si>
  <si>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</si>
  <si>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</si>
  <si>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</si>
  <si>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</si>
  <si>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</si>
  <si>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</si>
  <si>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</si>
  <si>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</si>
  <si>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</si>
  <si>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</si>
  <si>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</si>
  <si>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</si>
  <si>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</si>
  <si>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</si>
  <si>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</si>
  <si>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</si>
  <si>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</si>
  <si>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</si>
  <si>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</si>
  <si>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</si>
  <si>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</si>
  <si>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</si>
  <si>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</si>
  <si>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</si>
  <si>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</si>
  <si>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</si>
  <si>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</si>
  <si>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</si>
  <si>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</si>
  <si>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</si>
  <si>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</si>
  <si>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</si>
  <si>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</si>
  <si>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</si>
  <si>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</si>
  <si>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</si>
  <si>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</si>
  <si>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</si>
  <si>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</si>
  <si>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</si>
  <si>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</si>
  <si>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</si>
  <si>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</si>
  <si>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</si>
  <si>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</si>
  <si>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</si>
  <si>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</si>
  <si>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</si>
  <si>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</si>
  <si>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</si>
  <si>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</si>
  <si>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</si>
  <si>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</si>
  <si>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</si>
  <si>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</si>
  <si>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</si>
  <si>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</si>
  <si>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</si>
  <si>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</si>
  <si>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</si>
  <si>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</si>
  <si>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</si>
  <si>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</si>
  <si>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</si>
  <si>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</si>
  <si>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</si>
  <si>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</si>
  <si>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</si>
  <si>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</si>
  <si>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</si>
  <si>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</si>
  <si>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</si>
  <si>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</si>
  <si>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b</t>
  </si>
  <si>
    <t>Rating</t>
  </si>
  <si>
    <t>Not provided</t>
  </si>
  <si>
    <t>Discount Category (ksh)</t>
  </si>
  <si>
    <t>Rating Category</t>
  </si>
  <si>
    <t>Dscount Category</t>
  </si>
  <si>
    <t>high price =</t>
  </si>
  <si>
    <t>least price=ksh105.00</t>
  </si>
  <si>
    <t>Row Labels</t>
  </si>
  <si>
    <t>(blank)</t>
  </si>
  <si>
    <t>Grand Total</t>
  </si>
  <si>
    <t>Sum of Discount</t>
  </si>
  <si>
    <t>Average of Discount</t>
  </si>
  <si>
    <t>Poor</t>
  </si>
  <si>
    <t>Average</t>
  </si>
  <si>
    <t>Excellent</t>
  </si>
  <si>
    <t>N/A</t>
  </si>
  <si>
    <t>high</t>
  </si>
  <si>
    <t>low</t>
  </si>
  <si>
    <t>medium</t>
  </si>
  <si>
    <t>Average of Rating</t>
  </si>
  <si>
    <t>Count of Product</t>
  </si>
  <si>
    <t>Sum of Review</t>
  </si>
  <si>
    <t>Higher Rating Causes More Reviews</t>
  </si>
  <si>
    <t>High discount causes high rating</t>
  </si>
  <si>
    <t/>
  </si>
  <si>
    <t>r</t>
  </si>
  <si>
    <t>Sum of Rating</t>
  </si>
  <si>
    <t>Column Labels</t>
  </si>
  <si>
    <t>Average of Review</t>
  </si>
  <si>
    <t>Count of 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</si>
</sst>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Ksh&quot;#,##0.00;[Red]&quot;Ksh&quot;#,##0.00"/>
    <numFmt numFmtId="167"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5" tint="0.39997558519241921"/>
        <bgColor indexed="64"/>
      </patternFill>
    </fill>
    <fill>
      <patternFill patternType="solid">
        <fgColor theme="2"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applyNumberFormat="1"/>
    <xf numFmtId="164" fontId="0" fillId="0" borderId="0" xfId="0" applyNumberFormat="1"/>
    <xf numFmtId="164" fontId="0" fillId="33" borderId="0" xfId="0" applyNumberFormat="1" applyFill="1"/>
    <xf numFmtId="164" fontId="0" fillId="34" borderId="0" xfId="0" applyNumberFormat="1" applyFill="1"/>
    <xf numFmtId="0" fontId="0" fillId="0" borderId="0" xfId="0" pivotButton="1"/>
    <xf numFmtId="0" fontId="0" fillId="0" borderId="0" xfId="0" applyAlignment="1">
      <alignment horizontal="left"/>
    </xf>
    <xf numFmtId="167" fontId="0" fillId="0" borderId="0" xfId="0" applyNumberFormat="1"/>
    <xf numFmtId="167" fontId="0" fillId="0" borderId="0" xfId="0" pivotButton="1" applyNumberFormat="1"/>
    <xf numFmtId="167" fontId="0" fillId="0" borderId="0" xfId="0" applyNumberFormat="1" applyAlignment="1">
      <alignment horizontal="left"/>
    </xf>
    <xf numFmtId="0" fontId="0" fillId="35"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2">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numFmt numFmtId="167" formatCode="0.0%"/>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dxf>
    <dxf>
      <font>
        <color rgb="FF9C0006"/>
      </font>
    </dxf>
    <dxf>
      <font>
        <color rgb="FF9C0006"/>
      </font>
      <fill>
        <patternFill>
          <bgColor rgb="FFFFC7CE"/>
        </patternFill>
      </fill>
    </dxf>
    <dxf>
      <numFmt numFmtId="167" formatCode="0.0%"/>
    </dxf>
    <dxf>
      <numFmt numFmtId="167" formatCode="0.0%"/>
    </dxf>
    <dxf>
      <numFmt numFmtId="167"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5.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[Excel_jumia.xlsx]Average Rting by Discount and c!PivotTable15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0000"/>
                </a:solidFill>
              </a:rPr>
              <a:t>Avg</a:t>
            </a:r>
            <a:r>
              <a:rPr lang="en-US" baseline="0">
                <a:solidFill>
                  <a:srgbClr val="FF0000"/>
                </a:solidFill>
              </a:rPr>
              <a:t> DISC TO RAT</a:t>
            </a:r>
            <a:r>
              <a:rPr lang="en-US">
                <a:solidFill>
                  <a:srgbClr val="FF0000"/>
                </a:solidFill>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Rting by Discount and c'!$B$3</c:f>
              <c:strCache>
                <c:ptCount val="1"/>
                <c:pt idx="0">
                  <c:v>Average of Rating</c:v>
                </c:pt>
              </c:strCache>
            </c:strRef>
          </c:tx>
          <c:spPr>
            <a:solidFill>
              <a:schemeClr val="accent1"/>
            </a:solidFill>
            <a:ln>
              <a:noFill/>
            </a:ln>
            <a:effectLst/>
          </c:spPr>
          <c:invertIfNegative val="0"/>
          <c:cat>
            <c:strRef>
              <c:f>'Average Rting by Discount and c'!$A$4:$A$8</c:f>
              <c:strCache>
                <c:ptCount val="4"/>
                <c:pt idx="0">
                  <c:v>high</c:v>
                </c:pt>
                <c:pt idx="1">
                  <c:v>low</c:v>
                </c:pt>
                <c:pt idx="2">
                  <c:v>medium</c:v>
                </c:pt>
                <c:pt idx="3">
                  <c:v>(blank)</c:v>
                </c:pt>
              </c:strCache>
            </c:strRef>
          </c:cat>
          <c:val>
            <c:numRef>
              <c:f>'Average Rting by Discount and c'!$B$4:$B$8</c:f>
              <c:numCache>
                <c:formatCode>General</c:formatCode>
                <c:ptCount val="4"/>
                <c:pt idx="0">
                  <c:v>3.6133333333333324</c:v>
                </c:pt>
                <c:pt idx="1">
                  <c:v>3.7249999999999996</c:v>
                </c:pt>
                <c:pt idx="2">
                  <c:v>4.2782608695652184</c:v>
                </c:pt>
                <c:pt idx="3">
                  <c:v>2</c:v>
                </c:pt>
              </c:numCache>
            </c:numRef>
          </c:val>
          <c:extLst>
            <c:ext xmlns:c16="http://schemas.microsoft.com/office/drawing/2014/chart" uri="{C3380CC4-5D6E-409C-BE32-E72D297353CC}">
              <c16:uniqueId val="{00000000-C10A-491F-8967-D995BBB435C2}"/>
            </c:ext>
          </c:extLst>
        </c:ser>
        <c:ser>
          <c:idx val="1"/>
          <c:order val="1"/>
          <c:tx>
            <c:strRef>
              <c:f>'Average Rting by Discount and c'!$C$3</c:f>
              <c:strCache>
                <c:ptCount val="1"/>
                <c:pt idx="0">
                  <c:v>Average of Discount</c:v>
                </c:pt>
              </c:strCache>
            </c:strRef>
          </c:tx>
          <c:spPr>
            <a:solidFill>
              <a:schemeClr val="accent2"/>
            </a:solidFill>
            <a:ln>
              <a:noFill/>
            </a:ln>
            <a:effectLst/>
          </c:spPr>
          <c:invertIfNegative val="0"/>
          <c:cat>
            <c:strRef>
              <c:f>'Average Rting by Discount and c'!$A$4:$A$8</c:f>
              <c:strCache>
                <c:ptCount val="4"/>
                <c:pt idx="0">
                  <c:v>high</c:v>
                </c:pt>
                <c:pt idx="1">
                  <c:v>low</c:v>
                </c:pt>
                <c:pt idx="2">
                  <c:v>medium</c:v>
                </c:pt>
                <c:pt idx="3">
                  <c:v>(blank)</c:v>
                </c:pt>
              </c:strCache>
            </c:strRef>
          </c:cat>
          <c:val>
            <c:numRef>
              <c:f>'Average Rting by Discount and c'!$C$4:$C$8</c:f>
              <c:numCache>
                <c:formatCode>0.0%</c:formatCode>
                <c:ptCount val="4"/>
                <c:pt idx="0">
                  <c:v>0.48203389830508458</c:v>
                </c:pt>
                <c:pt idx="1">
                  <c:v>7.2222222222222243E-2</c:v>
                </c:pt>
                <c:pt idx="2">
                  <c:v>0.30999999999999994</c:v>
                </c:pt>
                <c:pt idx="3">
                  <c:v>0.36385321100917423</c:v>
                </c:pt>
              </c:numCache>
            </c:numRef>
          </c:val>
          <c:extLst>
            <c:ext xmlns:c16="http://schemas.microsoft.com/office/drawing/2014/chart" uri="{C3380CC4-5D6E-409C-BE32-E72D297353CC}">
              <c16:uniqueId val="{00000001-C10A-491F-8967-D995BBB435C2}"/>
            </c:ext>
          </c:extLst>
        </c:ser>
        <c:dLbls>
          <c:showLegendKey val="0"/>
          <c:showVal val="0"/>
          <c:showCatName val="0"/>
          <c:showSerName val="0"/>
          <c:showPercent val="0"/>
          <c:showBubbleSize val="0"/>
        </c:dLbls>
        <c:gapWidth val="219"/>
        <c:overlap val="-27"/>
        <c:axId val="807030031"/>
        <c:axId val="807030511"/>
      </c:barChart>
      <c:catAx>
        <c:axId val="807030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07030511"/>
        <c:crosses val="autoZero"/>
        <c:auto val="1"/>
        <c:lblAlgn val="ctr"/>
        <c:lblOffset val="100"/>
        <c:noMultiLvlLbl val="0"/>
      </c:catAx>
      <c:valAx>
        <c:axId val="807030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07030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[Excel_jumia.xlsx]product count!PivotTable16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solidFill>
                  <a:srgbClr val="FF0000"/>
                </a:solidFill>
              </a:rPr>
              <a:t>Product</a:t>
            </a:r>
            <a:r>
              <a:rPr lang="en-US" b="0" baseline="0">
                <a:solidFill>
                  <a:srgbClr val="FF0000"/>
                </a:solidFill>
              </a:rPr>
              <a:t> count</a:t>
            </a:r>
          </a:p>
          <a:p>
            <a:pPr>
              <a:defRPr/>
            </a:pP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'product count'!$B$3</c:f>
              <c:strCache>
                <c:ptCount val="1"/>
                <c:pt idx="0">
                  <c:v>Total</c:v>
                </c:pt>
              </c:strCache>
            </c:strRef>
          </c:tx>
          <c:spPr>
            <a:ln w="28575" cap="rnd">
              <a:solidFill>
                <a:schemeClr val="accent1"/>
              </a:solidFill>
              <a:round/>
            </a:ln>
            <a:effectLst/>
          </c:spPr>
          <c:marker>
            <c:symbol val="none"/>
          </c:marker>
          <c:cat>
            <c:strRef>
              <c:f>'product count'!$A$4:$A$9</c:f>
              <c:strCache>
                <c:ptCount val="5"/>
                <c:pt idx="0">
                  <c:v>Average</c:v>
                </c:pt>
                <c:pt idx="1">
                  <c:v>Excellent</c:v>
                </c:pt>
                <c:pt idx="2">
                  <c:v>N/A</c:v>
                </c:pt>
                <c:pt idx="3">
                  <c:v>Poor</c:v>
                </c:pt>
                <c:pt idx="4">
                  <c:v>(blank)</c:v>
                </c:pt>
              </c:strCache>
            </c:strRef>
          </c:cat>
          <c:val>
            <c:numRef>
              <c:f>'product count'!$B$4:$B$9</c:f>
              <c:numCache>
                <c:formatCode>General</c:formatCode>
                <c:ptCount val="5"/>
                <c:pt idx="0">
                  <c:v>22</c:v>
                </c:pt>
                <c:pt idx="1">
                  <c:v>23</c:v>
                </c:pt>
                <c:pt idx="2">
                  <c:v>52</c:v>
                </c:pt>
                <c:pt idx="3">
                  <c:v>12</c:v>
                </c:pt>
              </c:numCache>
            </c:numRef>
          </c:val>
          <c:smooth val="0"/>
          <c:extLst>
            <c:ext xmlns:c16="http://schemas.microsoft.com/office/drawing/2014/chart" uri="{C3380CC4-5D6E-409C-BE32-E72D297353CC}">
              <c16:uniqueId val="{00000000-2023-4056-B265-77DC801F7090}"/>
            </c:ext>
          </c:extLst>
        </c:ser>
        <c:dLbls>
          <c:showLegendKey val="0"/>
          <c:showVal val="0"/>
          <c:showCatName val="0"/>
          <c:showSerName val="0"/>
          <c:showPercent val="0"/>
          <c:showBubbleSize val="0"/>
        </c:dLbls>
        <c:smooth val="0"/>
        <c:axId val="1429050495"/>
        <c:axId val="1429055295"/>
      </c:lineChart>
      <c:catAx>
        <c:axId val="1429050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29055295"/>
        <c:crosses val="autoZero"/>
        <c:auto val="1"/>
        <c:lblAlgn val="ctr"/>
        <c:lblOffset val="100"/>
        <c:noMultiLvlLbl val="0"/>
      </c:catAx>
      <c:valAx>
        <c:axId val="1429055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29050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[Excel_jumia.xlsx]Relationship(dis and Reviews!PivotTable17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0000"/>
                </a:solidFill>
              </a:rPr>
              <a:t>Relantioship</a:t>
            </a:r>
            <a:r>
              <a:rPr lang="en-US" baseline="0">
                <a:solidFill>
                  <a:srgbClr val="FF0000"/>
                </a:solidFill>
              </a:rPr>
              <a:t> Between %Dis and N.Reviews</a:t>
            </a:r>
          </a:p>
          <a:p>
            <a:pPr>
              <a:defRPr/>
            </a:pPr>
            <a:endParaRPr lang="en-US">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'Relationship(dis and Reviews'!$B$3</c:f>
              <c:strCache>
                <c:ptCount val="1"/>
                <c:pt idx="0">
                  <c:v>Total</c:v>
                </c:pt>
              </c:strCache>
            </c:strRef>
          </c:tx>
          <c:spPr>
            <a:solidFill>
              <a:schemeClr val="accent1"/>
            </a:solidFill>
            <a:ln>
              <a:noFill/>
            </a:ln>
            <a:effectLst/>
          </c:spPr>
          <c:invertIfNegative val="0"/>
          <c:cat>
            <c:strRef>
              <c:f>'Relationship(dis and Reviews'!$A$4:$A$52</c:f>
              <c:strCache>
                <c:ptCount val="48"/>
                <c:pt idx="0">
                  <c:v>0.01</c:v>
                </c:pt>
                <c:pt idx="1">
                  <c:v>0.02</c:v>
                </c:pt>
                <c:pt idx="2">
                  <c:v>0.03</c:v>
                </c:pt>
                <c:pt idx="3">
                  <c:v>0.04</c:v>
                </c:pt>
                <c:pt idx="4">
                  <c:v>0.08</c:v>
                </c:pt>
                <c:pt idx="5">
                  <c:v>0.09</c:v>
                </c:pt>
                <c:pt idx="6">
                  <c:v>0.11</c:v>
                </c:pt>
                <c:pt idx="7">
                  <c:v>0.13</c:v>
                </c:pt>
                <c:pt idx="8">
                  <c:v>0.14</c:v>
                </c:pt>
                <c:pt idx="9">
                  <c:v>0.18</c:v>
                </c:pt>
                <c:pt idx="10">
                  <c:v>0.19</c:v>
                </c:pt>
                <c:pt idx="11">
                  <c:v>0.2</c:v>
                </c:pt>
                <c:pt idx="12">
                  <c:v>0.21</c:v>
                </c:pt>
                <c:pt idx="13">
                  <c:v>0.22</c:v>
                </c:pt>
                <c:pt idx="14">
                  <c:v>0.23</c:v>
                </c:pt>
                <c:pt idx="15">
                  <c:v>0.24</c:v>
                </c:pt>
                <c:pt idx="16">
                  <c:v>0.25</c:v>
                </c:pt>
                <c:pt idx="17">
                  <c:v>0.26</c:v>
                </c:pt>
                <c:pt idx="18">
                  <c:v>0.27</c:v>
                </c:pt>
                <c:pt idx="19">
                  <c:v>0.29</c:v>
                </c:pt>
                <c:pt idx="20">
                  <c:v>0.3</c:v>
                </c:pt>
                <c:pt idx="21">
                  <c:v>0.32</c:v>
                </c:pt>
                <c:pt idx="22">
                  <c:v>0.33</c:v>
                </c:pt>
                <c:pt idx="23">
                  <c:v>0.34</c:v>
                </c:pt>
                <c:pt idx="24">
                  <c:v>0.35</c:v>
                </c:pt>
                <c:pt idx="25">
                  <c:v>0.36</c:v>
                </c:pt>
                <c:pt idx="26">
                  <c:v>0.363853211009174</c:v>
                </c:pt>
                <c:pt idx="27">
                  <c:v>0.37</c:v>
                </c:pt>
                <c:pt idx="28">
                  <c:v>0.38</c:v>
                </c:pt>
                <c:pt idx="29">
                  <c:v>0.39</c:v>
                </c:pt>
                <c:pt idx="30">
                  <c:v>0.4</c:v>
                </c:pt>
                <c:pt idx="31">
                  <c:v>0.41</c:v>
                </c:pt>
                <c:pt idx="32">
                  <c:v>0.42</c:v>
                </c:pt>
                <c:pt idx="33">
                  <c:v>0.43</c:v>
                </c:pt>
                <c:pt idx="34">
                  <c:v>0.45</c:v>
                </c:pt>
                <c:pt idx="35">
                  <c:v>0.46</c:v>
                </c:pt>
                <c:pt idx="36">
                  <c:v>0.47</c:v>
                </c:pt>
                <c:pt idx="37">
                  <c:v>0.48</c:v>
                </c:pt>
                <c:pt idx="38">
                  <c:v>0.49</c:v>
                </c:pt>
                <c:pt idx="39">
                  <c:v>0.5</c:v>
                </c:pt>
                <c:pt idx="40">
                  <c:v>0.51</c:v>
                </c:pt>
                <c:pt idx="41">
                  <c:v>0.52</c:v>
                </c:pt>
                <c:pt idx="42">
                  <c:v>0.53</c:v>
                </c:pt>
                <c:pt idx="43">
                  <c:v>0.54</c:v>
                </c:pt>
                <c:pt idx="44">
                  <c:v>0.55</c:v>
                </c:pt>
                <c:pt idx="45">
                  <c:v>0.61</c:v>
                </c:pt>
                <c:pt idx="46">
                  <c:v>0.64</c:v>
                </c:pt>
                <c:pt idx="47">
                  <c:v>(blank)</c:v>
                </c:pt>
              </c:strCache>
            </c:strRef>
          </c:cat>
          <c:val>
            <c:numRef>
              <c:f>'Relationship(dis and Reviews'!$B$4:$B$52</c:f>
              <c:numCache>
                <c:formatCode>General</c:formatCode>
                <c:ptCount val="48"/>
                <c:pt idx="0">
                  <c:v>0</c:v>
                </c:pt>
                <c:pt idx="1">
                  <c:v>0</c:v>
                </c:pt>
                <c:pt idx="2">
                  <c:v>0</c:v>
                </c:pt>
                <c:pt idx="3">
                  <c:v>0</c:v>
                </c:pt>
                <c:pt idx="4">
                  <c:v>0</c:v>
                </c:pt>
                <c:pt idx="5">
                  <c:v>15</c:v>
                </c:pt>
                <c:pt idx="6">
                  <c:v>0</c:v>
                </c:pt>
                <c:pt idx="7">
                  <c:v>6</c:v>
                </c:pt>
                <c:pt idx="8">
                  <c:v>0</c:v>
                </c:pt>
                <c:pt idx="9">
                  <c:v>12</c:v>
                </c:pt>
                <c:pt idx="10">
                  <c:v>5</c:v>
                </c:pt>
                <c:pt idx="11">
                  <c:v>12</c:v>
                </c:pt>
                <c:pt idx="12">
                  <c:v>1</c:v>
                </c:pt>
                <c:pt idx="13">
                  <c:v>16</c:v>
                </c:pt>
                <c:pt idx="14">
                  <c:v>14</c:v>
                </c:pt>
                <c:pt idx="15">
                  <c:v>55</c:v>
                </c:pt>
                <c:pt idx="16">
                  <c:v>24</c:v>
                </c:pt>
                <c:pt idx="17">
                  <c:v>5</c:v>
                </c:pt>
                <c:pt idx="18">
                  <c:v>52</c:v>
                </c:pt>
                <c:pt idx="19">
                  <c:v>5</c:v>
                </c:pt>
                <c:pt idx="20">
                  <c:v>20</c:v>
                </c:pt>
                <c:pt idx="21">
                  <c:v>13</c:v>
                </c:pt>
                <c:pt idx="22">
                  <c:v>9</c:v>
                </c:pt>
                <c:pt idx="23">
                  <c:v>51</c:v>
                </c:pt>
                <c:pt idx="24">
                  <c:v>55</c:v>
                </c:pt>
                <c:pt idx="25">
                  <c:v>0</c:v>
                </c:pt>
                <c:pt idx="27">
                  <c:v>9</c:v>
                </c:pt>
                <c:pt idx="28">
                  <c:v>4</c:v>
                </c:pt>
                <c:pt idx="29">
                  <c:v>5</c:v>
                </c:pt>
                <c:pt idx="30">
                  <c:v>1</c:v>
                </c:pt>
                <c:pt idx="31">
                  <c:v>36</c:v>
                </c:pt>
                <c:pt idx="32">
                  <c:v>6</c:v>
                </c:pt>
                <c:pt idx="33">
                  <c:v>11</c:v>
                </c:pt>
                <c:pt idx="34">
                  <c:v>28</c:v>
                </c:pt>
                <c:pt idx="35">
                  <c:v>3</c:v>
                </c:pt>
                <c:pt idx="36">
                  <c:v>39</c:v>
                </c:pt>
                <c:pt idx="37">
                  <c:v>9</c:v>
                </c:pt>
                <c:pt idx="38">
                  <c:v>118</c:v>
                </c:pt>
                <c:pt idx="39">
                  <c:v>8</c:v>
                </c:pt>
                <c:pt idx="40">
                  <c:v>2</c:v>
                </c:pt>
                <c:pt idx="41">
                  <c:v>24</c:v>
                </c:pt>
                <c:pt idx="42">
                  <c:v>15</c:v>
                </c:pt>
                <c:pt idx="43">
                  <c:v>17</c:v>
                </c:pt>
                <c:pt idx="44">
                  <c:v>18</c:v>
                </c:pt>
                <c:pt idx="45">
                  <c:v>0</c:v>
                </c:pt>
                <c:pt idx="46">
                  <c:v>0</c:v>
                </c:pt>
              </c:numCache>
            </c:numRef>
          </c:val>
          <c:extLst>
            <c:ext xmlns:c16="http://schemas.microsoft.com/office/drawing/2014/chart" uri="{C3380CC4-5D6E-409C-BE32-E72D297353CC}">
              <c16:uniqueId val="{00000000-D2AB-44DD-A5CE-BBC3BC94EB23}"/>
            </c:ext>
          </c:extLst>
        </c:ser>
        <c:dLbls>
          <c:showLegendKey val="0"/>
          <c:showVal val="0"/>
          <c:showCatName val="0"/>
          <c:showSerName val="0"/>
          <c:showPercent val="0"/>
          <c:showBubbleSize val="0"/>
        </c:dLbls>
        <c:gapWidth val="219"/>
        <c:overlap val="-27"/>
        <c:axId val="1429026495"/>
        <c:axId val="1429009695"/>
      </c:barChart>
      <c:catAx>
        <c:axId val="1429026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29009695"/>
        <c:crosses val="autoZero"/>
        <c:auto val="1"/>
        <c:lblAlgn val="ctr"/>
        <c:lblOffset val="100"/>
        <c:noMultiLvlLbl val="0"/>
      </c:catAx>
      <c:valAx>
        <c:axId val="1429009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29026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[Excel_jumia.xlsx]Rating and Review!PivotTable18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0000"/>
                </a:solidFill>
              </a:rPr>
              <a:t>Relationship  btw R and Re</a:t>
            </a:r>
            <a:r>
              <a:rPr lang="en-US" baseline="0">
                <a:solidFill>
                  <a:srgbClr val="FF0000"/>
                </a:solidFill>
              </a:rPr>
              <a:t>  </a:t>
            </a:r>
            <a:endParaRPr lang="en-US">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'Rating and Review'!$B$3</c:f>
              <c:strCache>
                <c:ptCount val="1"/>
                <c:pt idx="0">
                  <c:v>Total</c:v>
                </c:pt>
              </c:strCache>
            </c:strRef>
          </c:tx>
          <c:spPr>
            <a:solidFill>
              <a:schemeClr val="accent1"/>
            </a:solidFill>
            <a:ln>
              <a:noFill/>
            </a:ln>
            <a:effectLst/>
          </c:spPr>
          <c:invertIfNegative val="0"/>
          <c:cat>
            <c:strRef>
              <c:f>'Rating and Review'!$A$4:$A$28</c:f>
              <c:strCache>
                <c:ptCount val="24"/>
                <c:pt idx="0">
                  <c:v>(blank)</c:v>
                </c:pt>
                <c:pt idx="1">
                  <c:v>Not provided</c:v>
                </c:pt>
                <c:pt idx="2">
                  <c:v>5</c:v>
                </c:pt>
                <c:pt idx="3">
                  <c:v>4.8</c:v>
                </c:pt>
                <c:pt idx="4">
                  <c:v>4.7</c:v>
                </c:pt>
                <c:pt idx="5">
                  <c:v>4.6</c:v>
                </c:pt>
                <c:pt idx="6">
                  <c:v>4.5</c:v>
                </c:pt>
                <c:pt idx="7">
                  <c:v>4.4</c:v>
                </c:pt>
                <c:pt idx="8">
                  <c:v>4.3</c:v>
                </c:pt>
                <c:pt idx="9">
                  <c:v>4.2</c:v>
                </c:pt>
                <c:pt idx="10">
                  <c:v>4.1</c:v>
                </c:pt>
                <c:pt idx="11">
                  <c:v>4</c:v>
                </c:pt>
                <c:pt idx="12">
                  <c:v>3.8</c:v>
                </c:pt>
                <c:pt idx="13">
                  <c:v>3.3</c:v>
                </c:pt>
                <c:pt idx="14">
                  <c:v>3</c:v>
                </c:pt>
                <c:pt idx="15">
                  <c:v>2.9</c:v>
                </c:pt>
                <c:pt idx="16">
                  <c:v>2.8</c:v>
                </c:pt>
                <c:pt idx="17">
                  <c:v>2.7</c:v>
                </c:pt>
                <c:pt idx="18">
                  <c:v>2.6</c:v>
                </c:pt>
                <c:pt idx="19">
                  <c:v>2.5</c:v>
                </c:pt>
                <c:pt idx="20">
                  <c:v>2.3</c:v>
                </c:pt>
                <c:pt idx="21">
                  <c:v>2.2</c:v>
                </c:pt>
                <c:pt idx="22">
                  <c:v>2.1</c:v>
                </c:pt>
                <c:pt idx="23">
                  <c:v>2</c:v>
                </c:pt>
              </c:strCache>
            </c:strRef>
          </c:cat>
          <c:val>
            <c:numRef>
              <c:f>'Rating and Review'!$B$4:$B$28</c:f>
              <c:numCache>
                <c:formatCode>General</c:formatCode>
                <c:ptCount val="24"/>
                <c:pt idx="1">
                  <c:v>0</c:v>
                </c:pt>
                <c:pt idx="2">
                  <c:v>12</c:v>
                </c:pt>
                <c:pt idx="3">
                  <c:v>22</c:v>
                </c:pt>
                <c:pt idx="4">
                  <c:v>78</c:v>
                </c:pt>
                <c:pt idx="5">
                  <c:v>177</c:v>
                </c:pt>
                <c:pt idx="6">
                  <c:v>42</c:v>
                </c:pt>
                <c:pt idx="7">
                  <c:v>14</c:v>
                </c:pt>
                <c:pt idx="8">
                  <c:v>61</c:v>
                </c:pt>
                <c:pt idx="9">
                  <c:v>9</c:v>
                </c:pt>
                <c:pt idx="10">
                  <c:v>46</c:v>
                </c:pt>
                <c:pt idx="11">
                  <c:v>24</c:v>
                </c:pt>
                <c:pt idx="12">
                  <c:v>30</c:v>
                </c:pt>
                <c:pt idx="13">
                  <c:v>13</c:v>
                </c:pt>
                <c:pt idx="14">
                  <c:v>26</c:v>
                </c:pt>
                <c:pt idx="15">
                  <c:v>16</c:v>
                </c:pt>
                <c:pt idx="16">
                  <c:v>69</c:v>
                </c:pt>
                <c:pt idx="17">
                  <c:v>15</c:v>
                </c:pt>
                <c:pt idx="18">
                  <c:v>17</c:v>
                </c:pt>
                <c:pt idx="19">
                  <c:v>6</c:v>
                </c:pt>
                <c:pt idx="20">
                  <c:v>13</c:v>
                </c:pt>
                <c:pt idx="21">
                  <c:v>12</c:v>
                </c:pt>
                <c:pt idx="22">
                  <c:v>20</c:v>
                </c:pt>
                <c:pt idx="23">
                  <c:v>1</c:v>
                </c:pt>
              </c:numCache>
            </c:numRef>
          </c:val>
          <c:extLst>
            <c:ext xmlns:c16="http://schemas.microsoft.com/office/drawing/2014/chart" uri="{C3380CC4-5D6E-409C-BE32-E72D297353CC}">
              <c16:uniqueId val="{00000000-7EA4-4B71-85C1-C478E898F491}"/>
            </c:ext>
          </c:extLst>
        </c:ser>
        <c:dLbls>
          <c:showLegendKey val="0"/>
          <c:showVal val="0"/>
          <c:showCatName val="0"/>
          <c:showSerName val="0"/>
          <c:showPercent val="0"/>
          <c:showBubbleSize val="0"/>
        </c:dLbls>
        <c:gapWidth val="150"/>
        <c:overlap val="100"/>
        <c:axId val="821432463"/>
        <c:axId val="821423343"/>
      </c:barChart>
      <c:catAx>
        <c:axId val="821432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21423343"/>
        <c:crosses val="autoZero"/>
        <c:auto val="1"/>
        <c:lblAlgn val="ctr"/>
        <c:lblOffset val="100"/>
        <c:noMultiLvlLbl val="0"/>
      </c:catAx>
      <c:valAx>
        <c:axId val="8214233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21432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[Excel_jumia.xlsx]AVG RATING BY REVIEWS ON DISC!PivotTable24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0000"/>
                </a:solidFill>
              </a:rPr>
              <a:t>Avg</a:t>
            </a:r>
            <a:r>
              <a:rPr lang="en-US" baseline="0">
                <a:solidFill>
                  <a:srgbClr val="FF0000"/>
                </a:solidFill>
              </a:rPr>
              <a:t> Rating and Reviews on DISCOUNT (low and high</a:t>
            </a:r>
            <a:r>
              <a:rPr lang="en-US" baseline="0"/>
              <a:t>)</a:t>
            </a:r>
            <a:endParaRPr lang="en-US"/>
          </a:p>
        </c:rich>
      </c:tx>
      <c:layout>
        <c:manualLayout>
          <c:xMode val="edge"/>
          <c:yMode val="edge"/>
          <c:x val="0.32320754716981132"/>
          <c:y val="0.1725238292581848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'AVG RATING BY REVIEWS ON DISC'!$B$3:$B$4</c:f>
              <c:strCache>
                <c:ptCount val="1"/>
                <c:pt idx="0">
                  <c:v>high</c:v>
                </c:pt>
              </c:strCache>
            </c:strRef>
          </c:tx>
          <c:spPr>
            <a:solidFill>
              <a:schemeClr val="accent1"/>
            </a:solidFill>
            <a:ln>
              <a:noFill/>
            </a:ln>
            <a:effectLst/>
          </c:spPr>
          <c:invertIfNegative val="0"/>
          <c:cat>
            <c:strRef>
              <c:f>'AVG RATING BY REVIEWS ON DISC'!$A$5:$A$28</c:f>
              <c:strCache>
                <c:ptCount val="23"/>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pt idx="22">
                  <c:v>Not provided</c:v>
                </c:pt>
              </c:strCache>
            </c:strRef>
          </c:cat>
          <c:val>
            <c:numRef>
              <c:f>'AVG RATING BY REVIEWS ON DISC'!$B$5:$B$28</c:f>
              <c:numCache>
                <c:formatCode>General</c:formatCode>
                <c:ptCount val="23"/>
                <c:pt idx="0">
                  <c:v>1</c:v>
                </c:pt>
                <c:pt idx="1">
                  <c:v>10</c:v>
                </c:pt>
                <c:pt idx="2">
                  <c:v>6</c:v>
                </c:pt>
                <c:pt idx="3">
                  <c:v>6.5</c:v>
                </c:pt>
                <c:pt idx="5">
                  <c:v>17</c:v>
                </c:pt>
                <c:pt idx="6">
                  <c:v>15</c:v>
                </c:pt>
                <c:pt idx="7">
                  <c:v>69</c:v>
                </c:pt>
                <c:pt idx="9">
                  <c:v>5.333333333333333</c:v>
                </c:pt>
                <c:pt idx="10">
                  <c:v>13</c:v>
                </c:pt>
                <c:pt idx="11">
                  <c:v>5</c:v>
                </c:pt>
                <c:pt idx="12">
                  <c:v>1</c:v>
                </c:pt>
                <c:pt idx="13">
                  <c:v>14</c:v>
                </c:pt>
                <c:pt idx="15">
                  <c:v>15.25</c:v>
                </c:pt>
                <c:pt idx="17">
                  <c:v>6</c:v>
                </c:pt>
                <c:pt idx="18">
                  <c:v>44</c:v>
                </c:pt>
                <c:pt idx="20">
                  <c:v>8.5</c:v>
                </c:pt>
                <c:pt idx="21">
                  <c:v>2</c:v>
                </c:pt>
                <c:pt idx="22">
                  <c:v>0</c:v>
                </c:pt>
              </c:numCache>
            </c:numRef>
          </c:val>
          <c:extLst>
            <c:ext xmlns:c16="http://schemas.microsoft.com/office/drawing/2014/chart" uri="{C3380CC4-5D6E-409C-BE32-E72D297353CC}">
              <c16:uniqueId val="{00000000-C356-41C5-BBBB-662BF32C3FFC}"/>
            </c:ext>
          </c:extLst>
        </c:ser>
        <c:ser>
          <c:idx val="1"/>
          <c:order val="1"/>
          <c:tx>
            <c:strRef>
              <c:f>'AVG RATING BY REVIEWS ON DISC'!$C$3:$C$4</c:f>
              <c:strCache>
                <c:ptCount val="1"/>
                <c:pt idx="0">
                  <c:v>low</c:v>
                </c:pt>
              </c:strCache>
            </c:strRef>
          </c:tx>
          <c:spPr>
            <a:solidFill>
              <a:schemeClr val="accent2"/>
            </a:solidFill>
            <a:ln>
              <a:noFill/>
            </a:ln>
            <a:effectLst/>
          </c:spPr>
          <c:invertIfNegative val="0"/>
          <c:cat>
            <c:strRef>
              <c:f>'AVG RATING BY REVIEWS ON DISC'!$A$5:$A$28</c:f>
              <c:strCache>
                <c:ptCount val="23"/>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pt idx="22">
                  <c:v>Not provided</c:v>
                </c:pt>
              </c:strCache>
            </c:strRef>
          </c:cat>
          <c:val>
            <c:numRef>
              <c:f>'AVG RATING BY REVIEWS ON DISC'!$C$5:$C$28</c:f>
              <c:numCache>
                <c:formatCode>General</c:formatCode>
                <c:ptCount val="23"/>
                <c:pt idx="4">
                  <c:v>6</c:v>
                </c:pt>
                <c:pt idx="11">
                  <c:v>12</c:v>
                </c:pt>
                <c:pt idx="12">
                  <c:v>15</c:v>
                </c:pt>
                <c:pt idx="18">
                  <c:v>5</c:v>
                </c:pt>
                <c:pt idx="22">
                  <c:v>0</c:v>
                </c:pt>
              </c:numCache>
            </c:numRef>
          </c:val>
          <c:extLst>
            <c:ext xmlns:c16="http://schemas.microsoft.com/office/drawing/2014/chart" uri="{C3380CC4-5D6E-409C-BE32-E72D297353CC}">
              <c16:uniqueId val="{00000003-C356-41C5-BBBB-662BF32C3FFC}"/>
            </c:ext>
          </c:extLst>
        </c:ser>
        <c:ser>
          <c:idx val="2"/>
          <c:order val="2"/>
          <c:tx>
            <c:strRef>
              <c:f>'AVG RATING BY REVIEWS ON DISC'!$D$3:$D$4</c:f>
              <c:strCache>
                <c:ptCount val="1"/>
                <c:pt idx="0">
                  <c:v>medium</c:v>
                </c:pt>
              </c:strCache>
            </c:strRef>
          </c:tx>
          <c:spPr>
            <a:solidFill>
              <a:schemeClr val="accent3"/>
            </a:solidFill>
            <a:ln>
              <a:noFill/>
            </a:ln>
            <a:effectLst/>
          </c:spPr>
          <c:invertIfNegative val="0"/>
          <c:cat>
            <c:strRef>
              <c:f>'AVG RATING BY REVIEWS ON DISC'!$A$5:$A$28</c:f>
              <c:strCache>
                <c:ptCount val="23"/>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pt idx="22">
                  <c:v>Not provided</c:v>
                </c:pt>
              </c:strCache>
            </c:strRef>
          </c:cat>
          <c:val>
            <c:numRef>
              <c:f>'AVG RATING BY REVIEWS ON DISC'!$D$5:$D$28</c:f>
              <c:numCache>
                <c:formatCode>General</c:formatCode>
                <c:ptCount val="23"/>
                <c:pt idx="8">
                  <c:v>16</c:v>
                </c:pt>
                <c:pt idx="9">
                  <c:v>5</c:v>
                </c:pt>
                <c:pt idx="11">
                  <c:v>13</c:v>
                </c:pt>
                <c:pt idx="12">
                  <c:v>4</c:v>
                </c:pt>
                <c:pt idx="13">
                  <c:v>16</c:v>
                </c:pt>
                <c:pt idx="14">
                  <c:v>9</c:v>
                </c:pt>
                <c:pt idx="16">
                  <c:v>14</c:v>
                </c:pt>
                <c:pt idx="17">
                  <c:v>12</c:v>
                </c:pt>
                <c:pt idx="18">
                  <c:v>42.666666666666664</c:v>
                </c:pt>
                <c:pt idx="19">
                  <c:v>19.5</c:v>
                </c:pt>
                <c:pt idx="20">
                  <c:v>5</c:v>
                </c:pt>
                <c:pt idx="21">
                  <c:v>1</c:v>
                </c:pt>
                <c:pt idx="22">
                  <c:v>0</c:v>
                </c:pt>
              </c:numCache>
            </c:numRef>
          </c:val>
          <c:extLst>
            <c:ext xmlns:c16="http://schemas.microsoft.com/office/drawing/2014/chart" uri="{C3380CC4-5D6E-409C-BE32-E72D297353CC}">
              <c16:uniqueId val="{00000004-C356-41C5-BBBB-662BF32C3FFC}"/>
            </c:ext>
          </c:extLst>
        </c:ser>
        <c:ser>
          <c:idx val="3"/>
          <c:order val="3"/>
          <c:tx>
            <c:strRef>
              <c:f>'AVG RATING BY REVIEWS ON DISC'!$E$3:$E$4</c:f>
              <c:strCache>
                <c:ptCount val="1"/>
                <c:pt idx="0">
                  <c:v>(blank)</c:v>
                </c:pt>
              </c:strCache>
            </c:strRef>
          </c:tx>
          <c:spPr>
            <a:solidFill>
              <a:schemeClr val="accent4"/>
            </a:solidFill>
            <a:ln>
              <a:noFill/>
            </a:ln>
            <a:effectLst/>
          </c:spPr>
          <c:invertIfNegative val="0"/>
          <c:cat>
            <c:strRef>
              <c:f>'AVG RATING BY REVIEWS ON DISC'!$A$5:$A$28</c:f>
              <c:strCache>
                <c:ptCount val="23"/>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pt idx="22">
                  <c:v>Not provided</c:v>
                </c:pt>
              </c:strCache>
            </c:strRef>
          </c:cat>
          <c:val>
            <c:numRef>
              <c:f>'AVG RATING BY REVIEWS ON DISC'!$E$5:$E$28</c:f>
              <c:numCache>
                <c:formatCode>General</c:formatCode>
                <c:ptCount val="23"/>
              </c:numCache>
            </c:numRef>
          </c:val>
          <c:extLst>
            <c:ext xmlns:c16="http://schemas.microsoft.com/office/drawing/2014/chart" uri="{C3380CC4-5D6E-409C-BE32-E72D297353CC}">
              <c16:uniqueId val="{00000005-C356-41C5-BBBB-662BF32C3FFC}"/>
            </c:ext>
          </c:extLst>
        </c:ser>
        <c:dLbls>
          <c:showLegendKey val="0"/>
          <c:showVal val="0"/>
          <c:showCatName val="0"/>
          <c:showSerName val="0"/>
          <c:showPercent val="0"/>
          <c:showBubbleSize val="0"/>
        </c:dLbls>
        <c:gapWidth val="150"/>
        <c:overlap val="100"/>
        <c:axId val="821445903"/>
        <c:axId val="821439183"/>
      </c:barChart>
      <c:catAx>
        <c:axId val="821445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21439183"/>
        <c:crosses val="autoZero"/>
        <c:auto val="1"/>
        <c:lblAlgn val="ctr"/>
        <c:lblOffset val="100"/>
        <c:noMultiLvlLbl val="0"/>
      </c:catAx>
      <c:valAx>
        <c:axId val="8214391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21445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[Excel_jumia.xlsx]PRODUCT CONT TO AVERAGE R!PivotTable25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0000"/>
                </a:solidFill>
              </a:rPr>
              <a:t>Troduct</a:t>
            </a:r>
            <a:r>
              <a:rPr lang="en-US" baseline="0">
                <a:solidFill>
                  <a:srgbClr val="FF0000"/>
                </a:solidFill>
              </a:rPr>
              <a:t> count to average ratings</a:t>
            </a:r>
            <a:endParaRPr lang="en-US">
              <a:solidFill>
                <a:srgbClr val="FF0000"/>
              </a:solidFill>
            </a:endParaRPr>
          </a:p>
        </c:rich>
      </c:tx>
      <c:layout>
        <c:manualLayout>
          <c:xMode val="edge"/>
          <c:yMode val="edge"/>
          <c:x val="0.36816347455733317"/>
          <c:y val="4.13154238073182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'PRODUCT CONT TO AVERAGE R'!$B$3</c:f>
              <c:strCache>
                <c:ptCount val="1"/>
                <c:pt idx="0">
                  <c:v>Count of Product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dPt>
            <c:idx val="62"/>
            <c:bubble3D val="0"/>
            <c:spPr>
              <a:solidFill>
                <a:schemeClr val="accent3">
                  <a:lumMod val="60000"/>
                </a:schemeClr>
              </a:solidFill>
              <a:ln w="19050">
                <a:solidFill>
                  <a:schemeClr val="lt1"/>
                </a:solidFill>
              </a:ln>
              <a:effectLst/>
            </c:spPr>
          </c:dPt>
          <c:dPt>
            <c:idx val="63"/>
            <c:bubble3D val="0"/>
            <c:spPr>
              <a:solidFill>
                <a:schemeClr val="accent4">
                  <a:lumMod val="60000"/>
                </a:schemeClr>
              </a:solidFill>
              <a:ln w="19050">
                <a:solidFill>
                  <a:schemeClr val="lt1"/>
                </a:solidFill>
              </a:ln>
              <a:effectLst/>
            </c:spPr>
          </c:dPt>
          <c:dPt>
            <c:idx val="64"/>
            <c:bubble3D val="0"/>
            <c:spPr>
              <a:solidFill>
                <a:schemeClr val="accent5">
                  <a:lumMod val="60000"/>
                </a:schemeClr>
              </a:solidFill>
              <a:ln w="19050">
                <a:solidFill>
                  <a:schemeClr val="lt1"/>
                </a:solidFill>
              </a:ln>
              <a:effectLst/>
            </c:spPr>
          </c:dPt>
          <c:dPt>
            <c:idx val="65"/>
            <c:bubble3D val="0"/>
            <c:spPr>
              <a:solidFill>
                <a:schemeClr val="accent6">
                  <a:lumMod val="60000"/>
                </a:schemeClr>
              </a:solidFill>
              <a:ln w="19050">
                <a:solidFill>
                  <a:schemeClr val="lt1"/>
                </a:solidFill>
              </a:ln>
              <a:effectLst/>
            </c:spPr>
          </c:dPt>
          <c:dPt>
            <c:idx val="66"/>
            <c:bubble3D val="0"/>
            <c:spPr>
              <a:solidFill>
                <a:schemeClr val="accent1">
                  <a:lumMod val="80000"/>
                  <a:lumOff val="20000"/>
                </a:schemeClr>
              </a:solidFill>
              <a:ln w="19050">
                <a:solidFill>
                  <a:schemeClr val="lt1"/>
                </a:solidFill>
              </a:ln>
              <a:effectLst/>
            </c:spPr>
          </c:dPt>
          <c:dPt>
            <c:idx val="67"/>
            <c:bubble3D val="0"/>
            <c:spPr>
              <a:solidFill>
                <a:schemeClr val="accent2">
                  <a:lumMod val="80000"/>
                  <a:lumOff val="20000"/>
                </a:schemeClr>
              </a:solidFill>
              <a:ln w="19050">
                <a:solidFill>
                  <a:schemeClr val="lt1"/>
                </a:solidFill>
              </a:ln>
              <a:effectLst/>
            </c:spPr>
          </c:dPt>
          <c:dPt>
            <c:idx val="68"/>
            <c:bubble3D val="0"/>
            <c:spPr>
              <a:solidFill>
                <a:schemeClr val="accent3">
                  <a:lumMod val="80000"/>
                  <a:lumOff val="20000"/>
                </a:schemeClr>
              </a:solidFill>
              <a:ln w="19050">
                <a:solidFill>
                  <a:schemeClr val="lt1"/>
                </a:solidFill>
              </a:ln>
              <a:effectLst/>
            </c:spPr>
          </c:dPt>
          <c:dPt>
            <c:idx val="69"/>
            <c:bubble3D val="0"/>
            <c:spPr>
              <a:solidFill>
                <a:schemeClr val="accent4">
                  <a:lumMod val="80000"/>
                  <a:lumOff val="20000"/>
                </a:schemeClr>
              </a:solidFill>
              <a:ln w="19050">
                <a:solidFill>
                  <a:schemeClr val="lt1"/>
                </a:solidFill>
              </a:ln>
              <a:effectLst/>
            </c:spPr>
          </c:dPt>
          <c:dPt>
            <c:idx val="70"/>
            <c:bubble3D val="0"/>
            <c:spPr>
              <a:solidFill>
                <a:schemeClr val="accent5">
                  <a:lumMod val="80000"/>
                  <a:lumOff val="20000"/>
                </a:schemeClr>
              </a:solidFill>
              <a:ln w="19050">
                <a:solidFill>
                  <a:schemeClr val="lt1"/>
                </a:solidFill>
              </a:ln>
              <a:effectLst/>
            </c:spPr>
          </c:dPt>
          <c:dPt>
            <c:idx val="71"/>
            <c:bubble3D val="0"/>
            <c:spPr>
              <a:solidFill>
                <a:schemeClr val="accent6">
                  <a:lumMod val="80000"/>
                  <a:lumOff val="20000"/>
                </a:schemeClr>
              </a:solidFill>
              <a:ln w="19050">
                <a:solidFill>
                  <a:schemeClr val="lt1"/>
                </a:solidFill>
              </a:ln>
              <a:effectLst/>
            </c:spPr>
          </c:dPt>
          <c:dPt>
            <c:idx val="72"/>
            <c:bubble3D val="0"/>
            <c:spPr>
              <a:solidFill>
                <a:schemeClr val="accent1">
                  <a:lumMod val="80000"/>
                </a:schemeClr>
              </a:solidFill>
              <a:ln w="19050">
                <a:solidFill>
                  <a:schemeClr val="lt1"/>
                </a:solidFill>
              </a:ln>
              <a:effectLst/>
            </c:spPr>
          </c:dPt>
          <c:dPt>
            <c:idx val="73"/>
            <c:bubble3D val="0"/>
            <c:spPr>
              <a:solidFill>
                <a:schemeClr val="accent2">
                  <a:lumMod val="80000"/>
                </a:schemeClr>
              </a:solidFill>
              <a:ln w="19050">
                <a:solidFill>
                  <a:schemeClr val="lt1"/>
                </a:solidFill>
              </a:ln>
              <a:effectLst/>
            </c:spPr>
          </c:dPt>
          <c:dPt>
            <c:idx val="74"/>
            <c:bubble3D val="0"/>
            <c:spPr>
              <a:solidFill>
                <a:schemeClr val="accent3">
                  <a:lumMod val="80000"/>
                </a:schemeClr>
              </a:solidFill>
              <a:ln w="19050">
                <a:solidFill>
                  <a:schemeClr val="lt1"/>
                </a:solidFill>
              </a:ln>
              <a:effectLst/>
            </c:spPr>
          </c:dPt>
          <c:dPt>
            <c:idx val="75"/>
            <c:bubble3D val="0"/>
            <c:spPr>
              <a:solidFill>
                <a:schemeClr val="accent4">
                  <a:lumMod val="80000"/>
                </a:schemeClr>
              </a:solidFill>
              <a:ln w="19050">
                <a:solidFill>
                  <a:schemeClr val="lt1"/>
                </a:solidFill>
              </a:ln>
              <a:effectLst/>
            </c:spPr>
          </c:dPt>
          <c:dPt>
            <c:idx val="76"/>
            <c:bubble3D val="0"/>
            <c:spPr>
              <a:solidFill>
                <a:schemeClr val="accent5">
                  <a:lumMod val="80000"/>
                </a:schemeClr>
              </a:solidFill>
              <a:ln w="19050">
                <a:solidFill>
                  <a:schemeClr val="lt1"/>
                </a:solidFill>
              </a:ln>
              <a:effectLst/>
            </c:spPr>
          </c:dPt>
          <c:dPt>
            <c:idx val="77"/>
            <c:bubble3D val="0"/>
            <c:spPr>
              <a:solidFill>
                <a:schemeClr val="accent6">
                  <a:lumMod val="80000"/>
                </a:schemeClr>
              </a:solidFill>
              <a:ln w="19050">
                <a:solidFill>
                  <a:schemeClr val="lt1"/>
                </a:solidFill>
              </a:ln>
              <a:effectLst/>
            </c:spPr>
          </c:dPt>
          <c:dPt>
            <c:idx val="78"/>
            <c:bubble3D val="0"/>
            <c:spPr>
              <a:solidFill>
                <a:schemeClr val="accent1">
                  <a:lumMod val="60000"/>
                  <a:lumOff val="40000"/>
                </a:schemeClr>
              </a:solidFill>
              <a:ln w="19050">
                <a:solidFill>
                  <a:schemeClr val="lt1"/>
                </a:solidFill>
              </a:ln>
              <a:effectLst/>
            </c:spPr>
          </c:dPt>
          <c:dPt>
            <c:idx val="79"/>
            <c:bubble3D val="0"/>
            <c:spPr>
              <a:solidFill>
                <a:schemeClr val="accent2">
                  <a:lumMod val="60000"/>
                  <a:lumOff val="40000"/>
                </a:schemeClr>
              </a:solidFill>
              <a:ln w="19050">
                <a:solidFill>
                  <a:schemeClr val="lt1"/>
                </a:solidFill>
              </a:ln>
              <a:effectLst/>
            </c:spPr>
          </c:dPt>
          <c:dPt>
            <c:idx val="80"/>
            <c:bubble3D val="0"/>
            <c:spPr>
              <a:solidFill>
                <a:schemeClr val="accent3">
                  <a:lumMod val="60000"/>
                  <a:lumOff val="40000"/>
                </a:schemeClr>
              </a:solidFill>
              <a:ln w="19050">
                <a:solidFill>
                  <a:schemeClr val="lt1"/>
                </a:solidFill>
              </a:ln>
              <a:effectLst/>
            </c:spPr>
          </c:dPt>
          <c:dPt>
            <c:idx val="81"/>
            <c:bubble3D val="0"/>
            <c:spPr>
              <a:solidFill>
                <a:schemeClr val="accent4">
                  <a:lumMod val="60000"/>
                  <a:lumOff val="40000"/>
                </a:schemeClr>
              </a:solidFill>
              <a:ln w="19050">
                <a:solidFill>
                  <a:schemeClr val="lt1"/>
                </a:solidFill>
              </a:ln>
              <a:effectLst/>
            </c:spPr>
          </c:dPt>
          <c:dPt>
            <c:idx val="82"/>
            <c:bubble3D val="0"/>
            <c:spPr>
              <a:solidFill>
                <a:schemeClr val="accent5">
                  <a:lumMod val="60000"/>
                  <a:lumOff val="40000"/>
                </a:schemeClr>
              </a:solidFill>
              <a:ln w="19050">
                <a:solidFill>
                  <a:schemeClr val="lt1"/>
                </a:solidFill>
              </a:ln>
              <a:effectLst/>
            </c:spPr>
          </c:dPt>
          <c:dPt>
            <c:idx val="83"/>
            <c:bubble3D val="0"/>
            <c:spPr>
              <a:solidFill>
                <a:schemeClr val="accent6">
                  <a:lumMod val="60000"/>
                  <a:lumOff val="40000"/>
                </a:schemeClr>
              </a:solidFill>
              <a:ln w="19050">
                <a:solidFill>
                  <a:schemeClr val="lt1"/>
                </a:solidFill>
              </a:ln>
              <a:effectLst/>
            </c:spPr>
          </c:dPt>
          <c:dPt>
            <c:idx val="84"/>
            <c:bubble3D val="0"/>
            <c:spPr>
              <a:solidFill>
                <a:schemeClr val="accent1">
                  <a:lumMod val="50000"/>
                </a:schemeClr>
              </a:solidFill>
              <a:ln w="19050">
                <a:solidFill>
                  <a:schemeClr val="lt1"/>
                </a:solidFill>
              </a:ln>
              <a:effectLst/>
            </c:spPr>
          </c:dPt>
          <c:dPt>
            <c:idx val="85"/>
            <c:bubble3D val="0"/>
            <c:spPr>
              <a:solidFill>
                <a:schemeClr val="accent2">
                  <a:lumMod val="50000"/>
                </a:schemeClr>
              </a:solidFill>
              <a:ln w="19050">
                <a:solidFill>
                  <a:schemeClr val="lt1"/>
                </a:solidFill>
              </a:ln>
              <a:effectLst/>
            </c:spPr>
          </c:dPt>
          <c:dPt>
            <c:idx val="86"/>
            <c:bubble3D val="0"/>
            <c:spPr>
              <a:solidFill>
                <a:schemeClr val="accent3">
                  <a:lumMod val="50000"/>
                </a:schemeClr>
              </a:solidFill>
              <a:ln w="19050">
                <a:solidFill>
                  <a:schemeClr val="lt1"/>
                </a:solidFill>
              </a:ln>
              <a:effectLst/>
            </c:spPr>
          </c:dPt>
          <c:dPt>
            <c:idx val="87"/>
            <c:bubble3D val="0"/>
            <c:spPr>
              <a:solidFill>
                <a:schemeClr val="accent4">
                  <a:lumMod val="50000"/>
                </a:schemeClr>
              </a:solidFill>
              <a:ln w="19050">
                <a:solidFill>
                  <a:schemeClr val="lt1"/>
                </a:solidFill>
              </a:ln>
              <a:effectLst/>
            </c:spPr>
          </c:dPt>
          <c:dPt>
            <c:idx val="88"/>
            <c:bubble3D val="0"/>
            <c:spPr>
              <a:solidFill>
                <a:schemeClr val="accent5">
                  <a:lumMod val="50000"/>
                </a:schemeClr>
              </a:solidFill>
              <a:ln w="19050">
                <a:solidFill>
                  <a:schemeClr val="lt1"/>
                </a:solidFill>
              </a:ln>
              <a:effectLst/>
            </c:spPr>
          </c:dPt>
          <c:dPt>
            <c:idx val="89"/>
            <c:bubble3D val="0"/>
            <c:spPr>
              <a:solidFill>
                <a:schemeClr val="accent6">
                  <a:lumMod val="50000"/>
                </a:schemeClr>
              </a:solidFill>
              <a:ln w="19050">
                <a:solidFill>
                  <a:schemeClr val="lt1"/>
                </a:solidFill>
              </a:ln>
              <a:effectLst/>
            </c:spPr>
          </c:dPt>
          <c:dPt>
            <c:idx val="90"/>
            <c:bubble3D val="0"/>
            <c:spPr>
              <a:solidFill>
                <a:schemeClr val="accent1">
                  <a:lumMod val="70000"/>
                  <a:lumOff val="30000"/>
                </a:schemeClr>
              </a:solidFill>
              <a:ln w="19050">
                <a:solidFill>
                  <a:schemeClr val="lt1"/>
                </a:solidFill>
              </a:ln>
              <a:effectLst/>
            </c:spPr>
          </c:dPt>
          <c:dPt>
            <c:idx val="91"/>
            <c:bubble3D val="0"/>
            <c:spPr>
              <a:solidFill>
                <a:schemeClr val="accent2">
                  <a:lumMod val="70000"/>
                  <a:lumOff val="30000"/>
                </a:schemeClr>
              </a:solidFill>
              <a:ln w="19050">
                <a:solidFill>
                  <a:schemeClr val="lt1"/>
                </a:solidFill>
              </a:ln>
              <a:effectLst/>
            </c:spPr>
          </c:dPt>
          <c:dPt>
            <c:idx val="92"/>
            <c:bubble3D val="0"/>
            <c:spPr>
              <a:solidFill>
                <a:schemeClr val="accent3">
                  <a:lumMod val="70000"/>
                  <a:lumOff val="30000"/>
                </a:schemeClr>
              </a:solidFill>
              <a:ln w="19050">
                <a:solidFill>
                  <a:schemeClr val="lt1"/>
                </a:solidFill>
              </a:ln>
              <a:effectLst/>
            </c:spPr>
          </c:dPt>
          <c:dPt>
            <c:idx val="93"/>
            <c:bubble3D val="0"/>
            <c:spPr>
              <a:solidFill>
                <a:schemeClr val="accent4">
                  <a:lumMod val="70000"/>
                  <a:lumOff val="30000"/>
                </a:schemeClr>
              </a:solidFill>
              <a:ln w="19050">
                <a:solidFill>
                  <a:schemeClr val="lt1"/>
                </a:solidFill>
              </a:ln>
              <a:effectLst/>
            </c:spPr>
          </c:dPt>
          <c:dPt>
            <c:idx val="94"/>
            <c:bubble3D val="0"/>
            <c:spPr>
              <a:solidFill>
                <a:schemeClr val="accent5">
                  <a:lumMod val="70000"/>
                  <a:lumOff val="30000"/>
                </a:schemeClr>
              </a:solidFill>
              <a:ln w="19050">
                <a:solidFill>
                  <a:schemeClr val="lt1"/>
                </a:solidFill>
              </a:ln>
              <a:effectLst/>
            </c:spPr>
          </c:dPt>
          <c:dPt>
            <c:idx val="95"/>
            <c:bubble3D val="0"/>
            <c:spPr>
              <a:solidFill>
                <a:schemeClr val="accent6">
                  <a:lumMod val="70000"/>
                  <a:lumOff val="30000"/>
                </a:schemeClr>
              </a:solidFill>
              <a:ln w="19050">
                <a:solidFill>
                  <a:schemeClr val="lt1"/>
                </a:solidFill>
              </a:ln>
              <a:effectLst/>
            </c:spPr>
          </c:dPt>
          <c:dPt>
            <c:idx val="96"/>
            <c:bubble3D val="0"/>
            <c:spPr>
              <a:solidFill>
                <a:schemeClr val="accent1">
                  <a:lumMod val="70000"/>
                </a:schemeClr>
              </a:solidFill>
              <a:ln w="19050">
                <a:solidFill>
                  <a:schemeClr val="lt1"/>
                </a:solidFill>
              </a:ln>
              <a:effectLst/>
            </c:spPr>
          </c:dPt>
          <c:dPt>
            <c:idx val="97"/>
            <c:bubble3D val="0"/>
            <c:spPr>
              <a:solidFill>
                <a:schemeClr val="accent2">
                  <a:lumMod val="70000"/>
                </a:schemeClr>
              </a:solidFill>
              <a:ln w="19050">
                <a:solidFill>
                  <a:schemeClr val="lt1"/>
                </a:solidFill>
              </a:ln>
              <a:effectLst/>
            </c:spPr>
          </c:dPt>
          <c:dPt>
            <c:idx val="98"/>
            <c:bubble3D val="0"/>
            <c:spPr>
              <a:solidFill>
                <a:schemeClr val="accent3">
                  <a:lumMod val="70000"/>
                </a:schemeClr>
              </a:solidFill>
              <a:ln w="19050">
                <a:solidFill>
                  <a:schemeClr val="lt1"/>
                </a:solidFill>
              </a:ln>
              <a:effectLst/>
            </c:spPr>
          </c:dPt>
          <c:dPt>
            <c:idx val="99"/>
            <c:bubble3D val="0"/>
            <c:spPr>
              <a:solidFill>
                <a:schemeClr val="accent4">
                  <a:lumMod val="70000"/>
                </a:schemeClr>
              </a:solidFill>
              <a:ln w="19050">
                <a:solidFill>
                  <a:schemeClr val="lt1"/>
                </a:solidFill>
              </a:ln>
              <a:effectLst/>
            </c:spPr>
          </c:dPt>
          <c:dPt>
            <c:idx val="100"/>
            <c:bubble3D val="0"/>
            <c:spPr>
              <a:solidFill>
                <a:schemeClr val="accent5">
                  <a:lumMod val="70000"/>
                </a:schemeClr>
              </a:solidFill>
              <a:ln w="19050">
                <a:solidFill>
                  <a:schemeClr val="lt1"/>
                </a:solidFill>
              </a:ln>
              <a:effectLst/>
            </c:spPr>
          </c:dPt>
          <c:dPt>
            <c:idx val="101"/>
            <c:bubble3D val="0"/>
            <c:spPr>
              <a:solidFill>
                <a:schemeClr val="accent6">
                  <a:lumMod val="70000"/>
                </a:schemeClr>
              </a:solidFill>
              <a:ln w="19050">
                <a:solidFill>
                  <a:schemeClr val="lt1"/>
                </a:solidFill>
              </a:ln>
              <a:effectLst/>
            </c:spPr>
          </c:dPt>
          <c:dPt>
            <c:idx val="102"/>
            <c:bubble3D val="0"/>
            <c:spPr>
              <a:solidFill>
                <a:schemeClr val="accent1">
                  <a:lumMod val="50000"/>
                  <a:lumOff val="50000"/>
                </a:schemeClr>
              </a:solidFill>
              <a:ln w="19050">
                <a:solidFill>
                  <a:schemeClr val="lt1"/>
                </a:solidFill>
              </a:ln>
              <a:effectLst/>
            </c:spPr>
          </c:dPt>
          <c:dPt>
            <c:idx val="103"/>
            <c:bubble3D val="0"/>
            <c:spPr>
              <a:solidFill>
                <a:schemeClr val="accent2">
                  <a:lumMod val="50000"/>
                  <a:lumOff val="50000"/>
                </a:schemeClr>
              </a:solidFill>
              <a:ln w="19050">
                <a:solidFill>
                  <a:schemeClr val="lt1"/>
                </a:solidFill>
              </a:ln>
              <a:effectLst/>
            </c:spPr>
          </c:dPt>
          <c:dPt>
            <c:idx val="104"/>
            <c:bubble3D val="0"/>
            <c:spPr>
              <a:solidFill>
                <a:schemeClr val="accent3">
                  <a:lumMod val="50000"/>
                  <a:lumOff val="50000"/>
                </a:schemeClr>
              </a:solidFill>
              <a:ln w="19050">
                <a:solidFill>
                  <a:schemeClr val="lt1"/>
                </a:solidFill>
              </a:ln>
              <a:effectLst/>
            </c:spPr>
          </c:dPt>
          <c:dPt>
            <c:idx val="105"/>
            <c:bubble3D val="0"/>
            <c:spPr>
              <a:solidFill>
                <a:schemeClr val="accent4">
                  <a:lumMod val="50000"/>
                  <a:lumOff val="50000"/>
                </a:schemeClr>
              </a:solidFill>
              <a:ln w="19050">
                <a:solidFill>
                  <a:schemeClr val="lt1"/>
                </a:solidFill>
              </a:ln>
              <a:effectLst/>
            </c:spPr>
          </c:dPt>
          <c:dPt>
            <c:idx val="106"/>
            <c:bubble3D val="0"/>
            <c:spPr>
              <a:solidFill>
                <a:schemeClr val="accent5">
                  <a:lumMod val="50000"/>
                  <a:lumOff val="50000"/>
                </a:schemeClr>
              </a:solidFill>
              <a:ln w="19050">
                <a:solidFill>
                  <a:schemeClr val="lt1"/>
                </a:solidFill>
              </a:ln>
              <a:effectLst/>
            </c:spPr>
          </c:dPt>
          <c:dPt>
            <c:idx val="107"/>
            <c:bubble3D val="0"/>
            <c:spPr>
              <a:solidFill>
                <a:schemeClr val="accent6">
                  <a:lumMod val="50000"/>
                  <a:lumOff val="50000"/>
                </a:schemeClr>
              </a:solidFill>
              <a:ln w="19050">
                <a:solidFill>
                  <a:schemeClr val="lt1"/>
                </a:solidFill>
              </a:ln>
              <a:effectLst/>
            </c:spPr>
          </c:dPt>
          <c:dPt>
            <c:idx val="108"/>
            <c:bubble3D val="0"/>
            <c:spPr>
              <a:solidFill>
                <a:schemeClr val="accent1"/>
              </a:solidFill>
              <a:ln w="19050">
                <a:solidFill>
                  <a:schemeClr val="lt1"/>
                </a:solidFill>
              </a:ln>
              <a:effectLst/>
            </c:spPr>
          </c:dPt>
          <c:dPt>
            <c:idx val="109"/>
            <c:bubble3D val="0"/>
            <c:spPr>
              <a:solidFill>
                <a:schemeClr val="accent2"/>
              </a:solidFill>
              <a:ln w="19050">
                <a:solidFill>
                  <a:schemeClr val="lt1"/>
                </a:solidFill>
              </a:ln>
              <a:effectLst/>
            </c:spPr>
          </c:dPt>
          <c:cat>
            <c:strRef>
              <c:f>'PRODUCT CONT TO AVERAGE R'!$A$4:$A$114</c:f>
              <c:strCache>
                <c:ptCount val="110"/>
                <c:pt idx="0">
                  <c:v>1/2/3 Seater Elastic Sofa Cover,Living Room/Home Decor Chair Cover-Grey</c:v>
                </c:pt>
                <c:pt idx="1">
                  <c:v>100 Pcs Crochet Hook Tool Set Knitting Hook Set With Box</c:v>
                </c:pt>
                <c:pt idx="2">
                  <c:v>115  Piece Set Of Multifunctional Precision Screwdrivers</c:v>
                </c:pt>
                <c:pt idx="3">
                  <c:v>12 Litre Black Insulated Lunch Box</c:v>
                </c:pt>
                <c:pt idx="4">
                  <c:v>12 Litre Insulated Lunch Box Grey</c:v>
                </c:pt>
                <c:pt idx="5">
                  <c:v>120W Cordless Vacuum Cleaners Handheld Electric Vacuum Cleaner</c:v>
                </c:pt>
                <c:pt idx="6">
                  <c:v>12V 19500rpm Handheld Electric Angle Grinder Tool - UK - Yellow/Black</c:v>
                </c:pt>
                <c:pt idx="7">
                  <c:v>13 In 1 Home Repair Tools Box Kit Set</c:v>
                </c:pt>
                <c:pt idx="8">
                  <c:v>137 Pieces Cake Decorating Tool Set Baking Supplies</c:v>
                </c:pt>
                <c:pt idx="9">
                  <c:v>1PC Refrigerator Food Seal Pocket Fridge Bags</c:v>
                </c:pt>
                <c:pt idx="10">
                  <c:v>2 Pairs Cowhide Split Leather Work Gloves.32â„‰ Or Above Welding Gloves</c:v>
                </c:pt>
                <c:pt idx="11">
                  <c:v>220V 60W Electric Soldering Iron Kits With Tools, Tips, And Multimeter</c:v>
                </c:pt>
                <c:pt idx="12">
                  <c:v>24 Grid Wall-mounted Sundries Organiser Fabric Closet Bag Storage Rack</c:v>
                </c:pt>
                <c:pt idx="13">
                  <c:v>2PCS Ice Silk Square Cushion Cover Pillowcases - 65x65cm</c:v>
                </c:pt>
                <c:pt idx="14">
                  <c:v>2pcs Solar Street Light Flood Light Outdoor</c:v>
                </c:pt>
                <c:pt idx="15">
                  <c:v>2PCS/LOT Solar LED Outdoor Intelligent Light Controlled Wall Lamp</c:v>
                </c:pt>
                <c:pt idx="16">
                  <c:v>32PCS Portable Cordless Drill Set With Cyclic Battery Drive -26 Variable Speed</c:v>
                </c:pt>
                <c:pt idx="17">
                  <c:v>380ML USB Rechargeable Portable Small Blenders And Juicers</c:v>
                </c:pt>
                <c:pt idx="18">
                  <c:v>3D Waterproof EVA Plastic Shower Curtain 1.8*2Mtrs</c:v>
                </c:pt>
                <c:pt idx="19">
                  <c:v>3PCS Rotary Scraper Thermomix For Kitchen</c:v>
                </c:pt>
                <c:pt idx="20">
                  <c:v>3PCS Single Head Knitting Crochet Sweater Needle Set</c:v>
                </c:pt>
                <c:pt idx="21">
                  <c:v>4 Piece Coloured Stainless Steel Kitchenware Set</c:v>
                </c:pt>
                <c:pt idx="22">
                  <c:v>40cm Gold DIY Acrylic Wall Sticker Clock</c:v>
                </c:pt>
                <c:pt idx="23">
                  <c:v>4M Float Switch Water Level Controller -Water Tank</c:v>
                </c:pt>
                <c:pt idx="24">
                  <c:v>4pcs Bathroom/Kitchen Towel Rack,Roll Paper Holder,Towel Bars,Hook</c:v>
                </c:pt>
                <c:pt idx="25">
                  <c:v>5 Pieces/set Of Stainless Steel Induction Cooker Pots</c:v>
                </c:pt>
                <c:pt idx="26">
                  <c:v>52 Pieces Cake Decorating Tool Set Gift Kit Baking Supplies</c:v>
                </c:pt>
                <c:pt idx="27">
                  <c:v>53 Pieces/Set Yarn Knitting Crochet Hooks With Bag - Pansies</c:v>
                </c:pt>
                <c:pt idx="28">
                  <c:v>53Pcs/Set Yarn Knitting Crochet Hooks With Bag - Fortune Cat</c:v>
                </c:pt>
                <c:pt idx="29">
                  <c:v>5m Waterproof Spherical LED String Lights Outdoor Ball Chain Lights Party Lighting Decoration Adjustable</c:v>
                </c:pt>
                <c:pt idx="30">
                  <c:v>5-PCS Stainless Steel Cooking Pot Set With Steamed Slices</c:v>
                </c:pt>
                <c:pt idx="31">
                  <c:v>6 In 1 Bottle Can Opener Multifunctional Easy Opener</c:v>
                </c:pt>
                <c:pt idx="32">
                  <c:v>6 Layers Steel Pipe Assembling Dustproof Storage Shoe Cabinet</c:v>
                </c:pt>
                <c:pt idx="33">
                  <c:v>60W Hot Melt Glue Sprayer - Efficient And Stable Glue Dispensing</c:v>
                </c:pt>
                <c:pt idx="34">
                  <c:v>7PCS Silicone Thumb Knife Finger Protector Vegetable Harvesting Knife</c:v>
                </c:pt>
                <c:pt idx="35">
                  <c:v>7-piece Set Of Storage Bags, Travel Storage Bags, Shoe Bags</c:v>
                </c:pt>
                <c:pt idx="36">
                  <c:v>8in1 Screwdriver With LED Light</c:v>
                </c:pt>
                <c:pt idx="37">
                  <c:v>9pcs Gas Mask, For Painting, Dust, Formaldehyde Grinding, Polishing</c:v>
                </c:pt>
                <c:pt idx="38">
                  <c:v>Agapeon Toothbrush Holder And Toothpaste Dispenser</c:v>
                </c:pt>
                <c:pt idx="39">
                  <c:v>Angle Measuring Tool Full Metal Multi Angle Measuring Tool</c:v>
                </c:pt>
                <c:pt idx="40">
                  <c:v>Anti-Skid Absorbent Insulation Coaster  For Home Office</c:v>
                </c:pt>
                <c:pt idx="41">
                  <c:v>Artificial Potted Flowers Room Decorative Flowers (2 Pieces)</c:v>
                </c:pt>
                <c:pt idx="42">
                  <c:v>Baby Early Education Shape And Color Cognitive Training Toys</c:v>
                </c:pt>
                <c:pt idx="43">
                  <c:v>Balloon Insert, Birthday Party Balloon Set, PU Leather</c:v>
                </c:pt>
                <c:pt idx="44">
                  <c:v>Bedroom Simple Floor Hanging Clothes Rack Single Pole Hat Rack - White</c:v>
                </c:pt>
                <c:pt idx="45">
                  <c:v>Black Simple Water Cup Wine Coaster Anti Slip Absorbent</c:v>
                </c:pt>
                <c:pt idx="46">
                  <c:v>Brush &amp; Paintbrush Cleaning Tool Pink</c:v>
                </c:pt>
                <c:pt idx="47">
                  <c:v>Car Phone Charging Stand</c:v>
                </c:pt>
                <c:pt idx="48">
                  <c:v>Cartoon Car Decoration Cute Individuality For Car Home Desk</c:v>
                </c:pt>
                <c:pt idx="49">
                  <c:v>Cartoon Embroidered Mini Towel Bear Cotton Wash Cloth Hand 4pcs</c:v>
                </c:pt>
                <c:pt idx="50">
                  <c:v>Christmas Elk Fence Yard Lawn Decorations Cute For Holidays</c:v>
                </c:pt>
                <c:pt idx="51">
                  <c:v>Christmas Fence Garden Decorations Outdoor For Holiday Home</c:v>
                </c:pt>
                <c:pt idx="52">
                  <c:v>Classic Black Cat Cotton Hemp Pillow Case For Home Car</c:v>
                </c:pt>
                <c:pt idx="53">
                  <c:v>Creative Owl Shape Keychain Black</c:v>
                </c:pt>
                <c:pt idx="54">
                  <c:v>Cushion Silicone Butt Cushion Summer Ice Cushion Honeycomb Gel Cushion</c:v>
                </c:pt>
                <c:pt idx="55">
                  <c:v>Cute Christmas Fence Garden Decorations For Holiday Home</c:v>
                </c:pt>
                <c:pt idx="56">
                  <c:v>Desk Foldable Fan Adjustable Fan Strong Wind 3 Gear Usb</c:v>
                </c:pt>
                <c:pt idx="57">
                  <c:v>DIY File Folder, Office Drawer File Holder, Pen Holder, Desktop Storage Rack</c:v>
                </c:pt>
                <c:pt idx="58">
                  <c:v>Electric LED UV Mosquito Killer Lamp, Outdoor/Indoor Fly Killer Trap Light -USB</c:v>
                </c:pt>
                <c:pt idx="59">
                  <c:v>Electronic Digital Display Vernier Caliper</c:v>
                </c:pt>
                <c:pt idx="60">
                  <c:v>Exfoliate And Exfoliate Face Towel - Black</c:v>
                </c:pt>
                <c:pt idx="61">
                  <c:v>Foldable Overbed Table/Desk</c:v>
                </c:pt>
                <c:pt idx="62">
                  <c:v>Genebre 115 In 1 Screwdriver Repairing Tool Set For IPhone Cellphone Hand Tool</c:v>
                </c:pt>
                <c:pt idx="63">
                  <c:v>Household Pineapple Peeler Peeler</c:v>
                </c:pt>
                <c:pt idx="64">
                  <c:v>Intelligent  LED Body Sensor Wireless Lighting Night Light USB</c:v>
                </c:pt>
                <c:pt idx="65">
                  <c:v>Konka Healty Electric Kettle, 24-hour Heat Preservation,1.5L,800W, White</c:v>
                </c:pt>
                <c:pt idx="66">
                  <c:v>Large Lazy Inflatable Sofa Chairs PVC Lounger Seat Bag</c:v>
                </c:pt>
                <c:pt idx="67">
                  <c:v>LASA 3 Tier Bamboo Shoe Bench Storage Shelf</c:v>
                </c:pt>
                <c:pt idx="68">
                  <c:v>LASA Aluminum Folding Truck Hand Cart - 68kg Max</c:v>
                </c:pt>
                <c:pt idx="69">
                  <c:v>LASA Digital Thermometer And Hydrometer</c:v>
                </c:pt>
                <c:pt idx="70">
                  <c:v>LASA FOLDING TABLE SERVING STAND</c:v>
                </c:pt>
                <c:pt idx="71">
                  <c:v>LASA Stainless Steel Double Wall Mount Soap Dispenser - 500ml</c:v>
                </c:pt>
                <c:pt idx="72">
                  <c:v>LED Eye Protection  Desk Lamp , Study, Reading, USB Fan - Double Pen Holder</c:v>
                </c:pt>
                <c:pt idx="73">
                  <c:v>LED Romantic Spaceship Starry Sky Projector,Children's Bedroom Night Light-Blue</c:v>
                </c:pt>
                <c:pt idx="74">
                  <c:v>LED Solar Street Light-fake Camera</c:v>
                </c:pt>
                <c:pt idx="75">
                  <c:v>LED Wall Digital Alarm Clock Study Home 12 / 24H Clock Calendar</c:v>
                </c:pt>
                <c:pt idx="76">
                  <c:v>Memory Foam Neck Pillow Cover, With Pillow Core - 50*30cm</c:v>
                </c:pt>
                <c:pt idx="77">
                  <c:v>Metal Decorative Hooks Key Hangers Entryway Wall Hooks Towel Hooks - Home</c:v>
                </c:pt>
                <c:pt idx="78">
                  <c:v>Metal Wall Clock Silver Dial Crystal Jewelry Round Home Decoration Wall Clock</c:v>
                </c:pt>
                <c:pt idx="79">
                  <c:v>Modern Sofa Throw Pillow Cover-45x45cm-Blue&amp;Red</c:v>
                </c:pt>
                <c:pt idx="80">
                  <c:v>Multifunction Laser Level With Adjustment Tripod</c:v>
                </c:pt>
                <c:pt idx="81">
                  <c:v>Multifunctional Hanging Storage Box Storage Bag (4 Layers)</c:v>
                </c:pt>
                <c:pt idx="82">
                  <c:v>MultiFunctional Storage Rack Multi-layer Bookshelf</c:v>
                </c:pt>
                <c:pt idx="83">
                  <c:v>Multi-purpose Rice Drainage Basket And Fruit And Vegetable Drainage Sieve</c:v>
                </c:pt>
                <c:pt idx="84">
                  <c:v>Mythco 120COB Solar Wall Ligt With Motion Sensor And Remote Control 3 Modes</c:v>
                </c:pt>
                <c:pt idx="85">
                  <c:v>Office Chair Lumbar Back Support Spine Posture Correction Pillow Car Cushion</c:v>
                </c:pt>
                <c:pt idx="86">
                  <c:v>Outdoor Portable Water Bottle With Medicine Box - 600ML - Black</c:v>
                </c:pt>
                <c:pt idx="87">
                  <c:v>Peacock  Throw Pillow Cushion Case For Home Car</c:v>
                </c:pt>
                <c:pt idx="88">
                  <c:v>Pen Grips For Kids Pen Grip Posture Correction Tool For Kids</c:v>
                </c:pt>
                <c:pt idx="89">
                  <c:v>Pilates Cloth Bag Waterproof Durable High Capacity Purple</c:v>
                </c:pt>
                <c:pt idx="90">
                  <c:v>Portable Home Small Air Humidifier 3-Speed Fan - Green</c:v>
                </c:pt>
                <c:pt idx="91">
                  <c:v>Portable Mini Cordless Car Vacuum Cleaner - Blue</c:v>
                </c:pt>
                <c:pt idx="92">
                  <c:v>Portable Soap Dispenser Kitchen Detergent Press Box Kitchen Tools</c:v>
                </c:pt>
                <c:pt idx="93">
                  <c:v>Portable Wardrobe Nonwoven With 3 Hanging Rods And 6 Storage Shelves</c:v>
                </c:pt>
                <c:pt idx="94">
                  <c:v>Portable Wine Table With Folding Round Table</c:v>
                </c:pt>
                <c:pt idx="95">
                  <c:v>Punch-free Great Load Bearing Bathroom Storage Rack Wall Shelf-White</c:v>
                </c:pt>
                <c:pt idx="96">
                  <c:v>Sewing Machine Needle Threader Stitch Insertion Tool Automatic Quick Sewing</c:v>
                </c:pt>
                <c:pt idx="97">
                  <c:v>Shower Cap Wide Elastic Band Cover Reusable Bashroom Cap</c:v>
                </c:pt>
                <c:pt idx="98">
                  <c:v>Shower Nozzle Cleaning Unclogging Needle Mini Crevice Small Hole Cleaning Brush</c:v>
                </c:pt>
                <c:pt idx="99">
                  <c:v>Simple Metal Dog Art Sculpture Decoration For Home Office</c:v>
                </c:pt>
                <c:pt idx="100">
                  <c:v>Thickening Multipurpose Non Stick Easy To Clean Heat Resistant Spoon Pad</c:v>
                </c:pt>
                <c:pt idx="101">
                  <c:v>VIC Wireless Vacuum Cleaner Dual Use For Home And Car 120W High Power Powerful</c:v>
                </c:pt>
                <c:pt idx="102">
                  <c:v>Wall Clock With Hidden Safe Box</c:v>
                </c:pt>
                <c:pt idx="103">
                  <c:v>Wall Mount Automatic Toothpaste Dispenser Toothbrush Holder Toothpaste Squeezer</c:v>
                </c:pt>
                <c:pt idx="104">
                  <c:v>Wall-mounted Sticker Punch-free Plug Fixer</c:v>
                </c:pt>
                <c:pt idx="105">
                  <c:v>Wall-Mounted Toothbrush Toothpaste Holder With Multiple Slots</c:v>
                </c:pt>
                <c:pt idx="106">
                  <c:v>Watercolour Gold Foil Textured Print Pillow Cover</c:v>
                </c:pt>
                <c:pt idx="107">
                  <c:v>Weighing Scale Digital Bathroom Body Fat Scale USB-Black</c:v>
                </c:pt>
                <c:pt idx="108">
                  <c:v>Wrought Iron Bathroom Shelf Wall Mounted Free Punch Toilet Rack</c:v>
                </c:pt>
                <c:pt idx="109">
                  <c:v>(blank)</c:v>
                </c:pt>
              </c:strCache>
            </c:strRef>
          </c:cat>
          <c:val>
            <c:numRef>
              <c:f>'PRODUCT CONT TO AVERAGE R'!$B$4:$B$114</c:f>
              <c:numCache>
                <c:formatCode>General</c:formatCode>
                <c:ptCount val="11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numCache>
            </c:numRef>
          </c:val>
          <c:extLst>
            <c:ext xmlns:c16="http://schemas.microsoft.com/office/drawing/2014/chart" uri="{C3380CC4-5D6E-409C-BE32-E72D297353CC}">
              <c16:uniqueId val="{00000000-E8AD-44BF-BEA8-A1FB556B31E6}"/>
            </c:ext>
          </c:extLst>
        </c:ser>
        <c:ser>
          <c:idx val="1"/>
          <c:order val="1"/>
          <c:tx>
            <c:strRef>
              <c:f>'PRODUCT CONT TO AVERAGE R'!$C$3</c:f>
              <c:strCache>
                <c:ptCount val="1"/>
                <c:pt idx="0">
                  <c:v>Average of Rating</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dPt>
            <c:idx val="62"/>
            <c:bubble3D val="0"/>
            <c:spPr>
              <a:solidFill>
                <a:schemeClr val="accent3">
                  <a:lumMod val="60000"/>
                </a:schemeClr>
              </a:solidFill>
              <a:ln w="19050">
                <a:solidFill>
                  <a:schemeClr val="lt1"/>
                </a:solidFill>
              </a:ln>
              <a:effectLst/>
            </c:spPr>
          </c:dPt>
          <c:dPt>
            <c:idx val="63"/>
            <c:bubble3D val="0"/>
            <c:spPr>
              <a:solidFill>
                <a:schemeClr val="accent4">
                  <a:lumMod val="60000"/>
                </a:schemeClr>
              </a:solidFill>
              <a:ln w="19050">
                <a:solidFill>
                  <a:schemeClr val="lt1"/>
                </a:solidFill>
              </a:ln>
              <a:effectLst/>
            </c:spPr>
          </c:dPt>
          <c:dPt>
            <c:idx val="64"/>
            <c:bubble3D val="0"/>
            <c:spPr>
              <a:solidFill>
                <a:schemeClr val="accent5">
                  <a:lumMod val="60000"/>
                </a:schemeClr>
              </a:solidFill>
              <a:ln w="19050">
                <a:solidFill>
                  <a:schemeClr val="lt1"/>
                </a:solidFill>
              </a:ln>
              <a:effectLst/>
            </c:spPr>
          </c:dPt>
          <c:dPt>
            <c:idx val="65"/>
            <c:bubble3D val="0"/>
            <c:spPr>
              <a:solidFill>
                <a:schemeClr val="accent6">
                  <a:lumMod val="60000"/>
                </a:schemeClr>
              </a:solidFill>
              <a:ln w="19050">
                <a:solidFill>
                  <a:schemeClr val="lt1"/>
                </a:solidFill>
              </a:ln>
              <a:effectLst/>
            </c:spPr>
          </c:dPt>
          <c:dPt>
            <c:idx val="66"/>
            <c:bubble3D val="0"/>
            <c:spPr>
              <a:solidFill>
                <a:schemeClr val="accent1">
                  <a:lumMod val="80000"/>
                  <a:lumOff val="20000"/>
                </a:schemeClr>
              </a:solidFill>
              <a:ln w="19050">
                <a:solidFill>
                  <a:schemeClr val="lt1"/>
                </a:solidFill>
              </a:ln>
              <a:effectLst/>
            </c:spPr>
          </c:dPt>
          <c:dPt>
            <c:idx val="67"/>
            <c:bubble3D val="0"/>
            <c:spPr>
              <a:solidFill>
                <a:schemeClr val="accent2">
                  <a:lumMod val="80000"/>
                  <a:lumOff val="20000"/>
                </a:schemeClr>
              </a:solidFill>
              <a:ln w="19050">
                <a:solidFill>
                  <a:schemeClr val="lt1"/>
                </a:solidFill>
              </a:ln>
              <a:effectLst/>
            </c:spPr>
          </c:dPt>
          <c:dPt>
            <c:idx val="68"/>
            <c:bubble3D val="0"/>
            <c:spPr>
              <a:solidFill>
                <a:schemeClr val="accent3">
                  <a:lumMod val="80000"/>
                  <a:lumOff val="20000"/>
                </a:schemeClr>
              </a:solidFill>
              <a:ln w="19050">
                <a:solidFill>
                  <a:schemeClr val="lt1"/>
                </a:solidFill>
              </a:ln>
              <a:effectLst/>
            </c:spPr>
          </c:dPt>
          <c:dPt>
            <c:idx val="69"/>
            <c:bubble3D val="0"/>
            <c:spPr>
              <a:solidFill>
                <a:schemeClr val="accent4">
                  <a:lumMod val="80000"/>
                  <a:lumOff val="20000"/>
                </a:schemeClr>
              </a:solidFill>
              <a:ln w="19050">
                <a:solidFill>
                  <a:schemeClr val="lt1"/>
                </a:solidFill>
              </a:ln>
              <a:effectLst/>
            </c:spPr>
          </c:dPt>
          <c:dPt>
            <c:idx val="70"/>
            <c:bubble3D val="0"/>
            <c:spPr>
              <a:solidFill>
                <a:schemeClr val="accent5">
                  <a:lumMod val="80000"/>
                  <a:lumOff val="20000"/>
                </a:schemeClr>
              </a:solidFill>
              <a:ln w="19050">
                <a:solidFill>
                  <a:schemeClr val="lt1"/>
                </a:solidFill>
              </a:ln>
              <a:effectLst/>
            </c:spPr>
          </c:dPt>
          <c:dPt>
            <c:idx val="71"/>
            <c:bubble3D val="0"/>
            <c:spPr>
              <a:solidFill>
                <a:schemeClr val="accent6">
                  <a:lumMod val="80000"/>
                  <a:lumOff val="20000"/>
                </a:schemeClr>
              </a:solidFill>
              <a:ln w="19050">
                <a:solidFill>
                  <a:schemeClr val="lt1"/>
                </a:solidFill>
              </a:ln>
              <a:effectLst/>
            </c:spPr>
          </c:dPt>
          <c:dPt>
            <c:idx val="72"/>
            <c:bubble3D val="0"/>
            <c:spPr>
              <a:solidFill>
                <a:schemeClr val="accent1">
                  <a:lumMod val="80000"/>
                </a:schemeClr>
              </a:solidFill>
              <a:ln w="19050">
                <a:solidFill>
                  <a:schemeClr val="lt1"/>
                </a:solidFill>
              </a:ln>
              <a:effectLst/>
            </c:spPr>
          </c:dPt>
          <c:dPt>
            <c:idx val="73"/>
            <c:bubble3D val="0"/>
            <c:spPr>
              <a:solidFill>
                <a:schemeClr val="accent2">
                  <a:lumMod val="80000"/>
                </a:schemeClr>
              </a:solidFill>
              <a:ln w="19050">
                <a:solidFill>
                  <a:schemeClr val="lt1"/>
                </a:solidFill>
              </a:ln>
              <a:effectLst/>
            </c:spPr>
          </c:dPt>
          <c:dPt>
            <c:idx val="74"/>
            <c:bubble3D val="0"/>
            <c:spPr>
              <a:solidFill>
                <a:schemeClr val="accent3">
                  <a:lumMod val="80000"/>
                </a:schemeClr>
              </a:solidFill>
              <a:ln w="19050">
                <a:solidFill>
                  <a:schemeClr val="lt1"/>
                </a:solidFill>
              </a:ln>
              <a:effectLst/>
            </c:spPr>
          </c:dPt>
          <c:dPt>
            <c:idx val="75"/>
            <c:bubble3D val="0"/>
            <c:spPr>
              <a:solidFill>
                <a:schemeClr val="accent4">
                  <a:lumMod val="80000"/>
                </a:schemeClr>
              </a:solidFill>
              <a:ln w="19050">
                <a:solidFill>
                  <a:schemeClr val="lt1"/>
                </a:solidFill>
              </a:ln>
              <a:effectLst/>
            </c:spPr>
          </c:dPt>
          <c:dPt>
            <c:idx val="76"/>
            <c:bubble3D val="0"/>
            <c:spPr>
              <a:solidFill>
                <a:schemeClr val="accent5">
                  <a:lumMod val="80000"/>
                </a:schemeClr>
              </a:solidFill>
              <a:ln w="19050">
                <a:solidFill>
                  <a:schemeClr val="lt1"/>
                </a:solidFill>
              </a:ln>
              <a:effectLst/>
            </c:spPr>
          </c:dPt>
          <c:dPt>
            <c:idx val="77"/>
            <c:bubble3D val="0"/>
            <c:spPr>
              <a:solidFill>
                <a:schemeClr val="accent6">
                  <a:lumMod val="80000"/>
                </a:schemeClr>
              </a:solidFill>
              <a:ln w="19050">
                <a:solidFill>
                  <a:schemeClr val="lt1"/>
                </a:solidFill>
              </a:ln>
              <a:effectLst/>
            </c:spPr>
          </c:dPt>
          <c:dPt>
            <c:idx val="78"/>
            <c:bubble3D val="0"/>
            <c:spPr>
              <a:solidFill>
                <a:schemeClr val="accent1">
                  <a:lumMod val="60000"/>
                  <a:lumOff val="40000"/>
                </a:schemeClr>
              </a:solidFill>
              <a:ln w="19050">
                <a:solidFill>
                  <a:schemeClr val="lt1"/>
                </a:solidFill>
              </a:ln>
              <a:effectLst/>
            </c:spPr>
          </c:dPt>
          <c:dPt>
            <c:idx val="79"/>
            <c:bubble3D val="0"/>
            <c:spPr>
              <a:solidFill>
                <a:schemeClr val="accent2">
                  <a:lumMod val="60000"/>
                  <a:lumOff val="40000"/>
                </a:schemeClr>
              </a:solidFill>
              <a:ln w="19050">
                <a:solidFill>
                  <a:schemeClr val="lt1"/>
                </a:solidFill>
              </a:ln>
              <a:effectLst/>
            </c:spPr>
          </c:dPt>
          <c:dPt>
            <c:idx val="80"/>
            <c:bubble3D val="0"/>
            <c:spPr>
              <a:solidFill>
                <a:schemeClr val="accent3">
                  <a:lumMod val="60000"/>
                  <a:lumOff val="40000"/>
                </a:schemeClr>
              </a:solidFill>
              <a:ln w="19050">
                <a:solidFill>
                  <a:schemeClr val="lt1"/>
                </a:solidFill>
              </a:ln>
              <a:effectLst/>
            </c:spPr>
          </c:dPt>
          <c:dPt>
            <c:idx val="81"/>
            <c:bubble3D val="0"/>
            <c:spPr>
              <a:solidFill>
                <a:schemeClr val="accent4">
                  <a:lumMod val="60000"/>
                  <a:lumOff val="40000"/>
                </a:schemeClr>
              </a:solidFill>
              <a:ln w="19050">
                <a:solidFill>
                  <a:schemeClr val="lt1"/>
                </a:solidFill>
              </a:ln>
              <a:effectLst/>
            </c:spPr>
          </c:dPt>
          <c:dPt>
            <c:idx val="82"/>
            <c:bubble3D val="0"/>
            <c:spPr>
              <a:solidFill>
                <a:schemeClr val="accent5">
                  <a:lumMod val="60000"/>
                  <a:lumOff val="40000"/>
                </a:schemeClr>
              </a:solidFill>
              <a:ln w="19050">
                <a:solidFill>
                  <a:schemeClr val="lt1"/>
                </a:solidFill>
              </a:ln>
              <a:effectLst/>
            </c:spPr>
          </c:dPt>
          <c:dPt>
            <c:idx val="83"/>
            <c:bubble3D val="0"/>
            <c:spPr>
              <a:solidFill>
                <a:schemeClr val="accent6">
                  <a:lumMod val="60000"/>
                  <a:lumOff val="40000"/>
                </a:schemeClr>
              </a:solidFill>
              <a:ln w="19050">
                <a:solidFill>
                  <a:schemeClr val="lt1"/>
                </a:solidFill>
              </a:ln>
              <a:effectLst/>
            </c:spPr>
          </c:dPt>
          <c:dPt>
            <c:idx val="84"/>
            <c:bubble3D val="0"/>
            <c:spPr>
              <a:solidFill>
                <a:schemeClr val="accent1">
                  <a:lumMod val="50000"/>
                </a:schemeClr>
              </a:solidFill>
              <a:ln w="19050">
                <a:solidFill>
                  <a:schemeClr val="lt1"/>
                </a:solidFill>
              </a:ln>
              <a:effectLst/>
            </c:spPr>
          </c:dPt>
          <c:dPt>
            <c:idx val="85"/>
            <c:bubble3D val="0"/>
            <c:spPr>
              <a:solidFill>
                <a:schemeClr val="accent2">
                  <a:lumMod val="50000"/>
                </a:schemeClr>
              </a:solidFill>
              <a:ln w="19050">
                <a:solidFill>
                  <a:schemeClr val="lt1"/>
                </a:solidFill>
              </a:ln>
              <a:effectLst/>
            </c:spPr>
          </c:dPt>
          <c:dPt>
            <c:idx val="86"/>
            <c:bubble3D val="0"/>
            <c:spPr>
              <a:solidFill>
                <a:schemeClr val="accent3">
                  <a:lumMod val="50000"/>
                </a:schemeClr>
              </a:solidFill>
              <a:ln w="19050">
                <a:solidFill>
                  <a:schemeClr val="lt1"/>
                </a:solidFill>
              </a:ln>
              <a:effectLst/>
            </c:spPr>
          </c:dPt>
          <c:dPt>
            <c:idx val="87"/>
            <c:bubble3D val="0"/>
            <c:spPr>
              <a:solidFill>
                <a:schemeClr val="accent4">
                  <a:lumMod val="50000"/>
                </a:schemeClr>
              </a:solidFill>
              <a:ln w="19050">
                <a:solidFill>
                  <a:schemeClr val="lt1"/>
                </a:solidFill>
              </a:ln>
              <a:effectLst/>
            </c:spPr>
          </c:dPt>
          <c:dPt>
            <c:idx val="88"/>
            <c:bubble3D val="0"/>
            <c:spPr>
              <a:solidFill>
                <a:schemeClr val="accent5">
                  <a:lumMod val="50000"/>
                </a:schemeClr>
              </a:solidFill>
              <a:ln w="19050">
                <a:solidFill>
                  <a:schemeClr val="lt1"/>
                </a:solidFill>
              </a:ln>
              <a:effectLst/>
            </c:spPr>
          </c:dPt>
          <c:dPt>
            <c:idx val="89"/>
            <c:bubble3D val="0"/>
            <c:spPr>
              <a:solidFill>
                <a:schemeClr val="accent6">
                  <a:lumMod val="50000"/>
                </a:schemeClr>
              </a:solidFill>
              <a:ln w="19050">
                <a:solidFill>
                  <a:schemeClr val="lt1"/>
                </a:solidFill>
              </a:ln>
              <a:effectLst/>
            </c:spPr>
          </c:dPt>
          <c:dPt>
            <c:idx val="90"/>
            <c:bubble3D val="0"/>
            <c:spPr>
              <a:solidFill>
                <a:schemeClr val="accent1">
                  <a:lumMod val="70000"/>
                  <a:lumOff val="30000"/>
                </a:schemeClr>
              </a:solidFill>
              <a:ln w="19050">
                <a:solidFill>
                  <a:schemeClr val="lt1"/>
                </a:solidFill>
              </a:ln>
              <a:effectLst/>
            </c:spPr>
          </c:dPt>
          <c:dPt>
            <c:idx val="91"/>
            <c:bubble3D val="0"/>
            <c:spPr>
              <a:solidFill>
                <a:schemeClr val="accent2">
                  <a:lumMod val="70000"/>
                  <a:lumOff val="30000"/>
                </a:schemeClr>
              </a:solidFill>
              <a:ln w="19050">
                <a:solidFill>
                  <a:schemeClr val="lt1"/>
                </a:solidFill>
              </a:ln>
              <a:effectLst/>
            </c:spPr>
          </c:dPt>
          <c:dPt>
            <c:idx val="92"/>
            <c:bubble3D val="0"/>
            <c:spPr>
              <a:solidFill>
                <a:schemeClr val="accent3">
                  <a:lumMod val="70000"/>
                  <a:lumOff val="30000"/>
                </a:schemeClr>
              </a:solidFill>
              <a:ln w="19050">
                <a:solidFill>
                  <a:schemeClr val="lt1"/>
                </a:solidFill>
              </a:ln>
              <a:effectLst/>
            </c:spPr>
          </c:dPt>
          <c:dPt>
            <c:idx val="93"/>
            <c:bubble3D val="0"/>
            <c:spPr>
              <a:solidFill>
                <a:schemeClr val="accent4">
                  <a:lumMod val="70000"/>
                  <a:lumOff val="30000"/>
                </a:schemeClr>
              </a:solidFill>
              <a:ln w="19050">
                <a:solidFill>
                  <a:schemeClr val="lt1"/>
                </a:solidFill>
              </a:ln>
              <a:effectLst/>
            </c:spPr>
          </c:dPt>
          <c:dPt>
            <c:idx val="94"/>
            <c:bubble3D val="0"/>
            <c:spPr>
              <a:solidFill>
                <a:schemeClr val="accent5">
                  <a:lumMod val="70000"/>
                  <a:lumOff val="30000"/>
                </a:schemeClr>
              </a:solidFill>
              <a:ln w="19050">
                <a:solidFill>
                  <a:schemeClr val="lt1"/>
                </a:solidFill>
              </a:ln>
              <a:effectLst/>
            </c:spPr>
          </c:dPt>
          <c:dPt>
            <c:idx val="95"/>
            <c:bubble3D val="0"/>
            <c:spPr>
              <a:solidFill>
                <a:schemeClr val="accent6">
                  <a:lumMod val="70000"/>
                  <a:lumOff val="30000"/>
                </a:schemeClr>
              </a:solidFill>
              <a:ln w="19050">
                <a:solidFill>
                  <a:schemeClr val="lt1"/>
                </a:solidFill>
              </a:ln>
              <a:effectLst/>
            </c:spPr>
          </c:dPt>
          <c:dPt>
            <c:idx val="96"/>
            <c:bubble3D val="0"/>
            <c:spPr>
              <a:solidFill>
                <a:schemeClr val="accent1">
                  <a:lumMod val="70000"/>
                </a:schemeClr>
              </a:solidFill>
              <a:ln w="19050">
                <a:solidFill>
                  <a:schemeClr val="lt1"/>
                </a:solidFill>
              </a:ln>
              <a:effectLst/>
            </c:spPr>
          </c:dPt>
          <c:dPt>
            <c:idx val="97"/>
            <c:bubble3D val="0"/>
            <c:spPr>
              <a:solidFill>
                <a:schemeClr val="accent2">
                  <a:lumMod val="70000"/>
                </a:schemeClr>
              </a:solidFill>
              <a:ln w="19050">
                <a:solidFill>
                  <a:schemeClr val="lt1"/>
                </a:solidFill>
              </a:ln>
              <a:effectLst/>
            </c:spPr>
          </c:dPt>
          <c:dPt>
            <c:idx val="98"/>
            <c:bubble3D val="0"/>
            <c:spPr>
              <a:solidFill>
                <a:schemeClr val="accent3">
                  <a:lumMod val="70000"/>
                </a:schemeClr>
              </a:solidFill>
              <a:ln w="19050">
                <a:solidFill>
                  <a:schemeClr val="lt1"/>
                </a:solidFill>
              </a:ln>
              <a:effectLst/>
            </c:spPr>
          </c:dPt>
          <c:dPt>
            <c:idx val="99"/>
            <c:bubble3D val="0"/>
            <c:spPr>
              <a:solidFill>
                <a:schemeClr val="accent4">
                  <a:lumMod val="70000"/>
                </a:schemeClr>
              </a:solidFill>
              <a:ln w="19050">
                <a:solidFill>
                  <a:schemeClr val="lt1"/>
                </a:solidFill>
              </a:ln>
              <a:effectLst/>
            </c:spPr>
          </c:dPt>
          <c:dPt>
            <c:idx val="100"/>
            <c:bubble3D val="0"/>
            <c:spPr>
              <a:solidFill>
                <a:schemeClr val="accent5">
                  <a:lumMod val="70000"/>
                </a:schemeClr>
              </a:solidFill>
              <a:ln w="19050">
                <a:solidFill>
                  <a:schemeClr val="lt1"/>
                </a:solidFill>
              </a:ln>
              <a:effectLst/>
            </c:spPr>
          </c:dPt>
          <c:dPt>
            <c:idx val="101"/>
            <c:bubble3D val="0"/>
            <c:spPr>
              <a:solidFill>
                <a:schemeClr val="accent6">
                  <a:lumMod val="70000"/>
                </a:schemeClr>
              </a:solidFill>
              <a:ln w="19050">
                <a:solidFill>
                  <a:schemeClr val="lt1"/>
                </a:solidFill>
              </a:ln>
              <a:effectLst/>
            </c:spPr>
          </c:dPt>
          <c:dPt>
            <c:idx val="102"/>
            <c:bubble3D val="0"/>
            <c:spPr>
              <a:solidFill>
                <a:schemeClr val="accent1">
                  <a:lumMod val="50000"/>
                  <a:lumOff val="50000"/>
                </a:schemeClr>
              </a:solidFill>
              <a:ln w="19050">
                <a:solidFill>
                  <a:schemeClr val="lt1"/>
                </a:solidFill>
              </a:ln>
              <a:effectLst/>
            </c:spPr>
          </c:dPt>
          <c:dPt>
            <c:idx val="103"/>
            <c:bubble3D val="0"/>
            <c:spPr>
              <a:solidFill>
                <a:schemeClr val="accent2">
                  <a:lumMod val="50000"/>
                  <a:lumOff val="50000"/>
                </a:schemeClr>
              </a:solidFill>
              <a:ln w="19050">
                <a:solidFill>
                  <a:schemeClr val="lt1"/>
                </a:solidFill>
              </a:ln>
              <a:effectLst/>
            </c:spPr>
          </c:dPt>
          <c:dPt>
            <c:idx val="104"/>
            <c:bubble3D val="0"/>
            <c:spPr>
              <a:solidFill>
                <a:schemeClr val="accent3">
                  <a:lumMod val="50000"/>
                  <a:lumOff val="50000"/>
                </a:schemeClr>
              </a:solidFill>
              <a:ln w="19050">
                <a:solidFill>
                  <a:schemeClr val="lt1"/>
                </a:solidFill>
              </a:ln>
              <a:effectLst/>
            </c:spPr>
          </c:dPt>
          <c:dPt>
            <c:idx val="105"/>
            <c:bubble3D val="0"/>
            <c:spPr>
              <a:solidFill>
                <a:schemeClr val="accent4">
                  <a:lumMod val="50000"/>
                  <a:lumOff val="50000"/>
                </a:schemeClr>
              </a:solidFill>
              <a:ln w="19050">
                <a:solidFill>
                  <a:schemeClr val="lt1"/>
                </a:solidFill>
              </a:ln>
              <a:effectLst/>
            </c:spPr>
          </c:dPt>
          <c:dPt>
            <c:idx val="106"/>
            <c:bubble3D val="0"/>
            <c:spPr>
              <a:solidFill>
                <a:schemeClr val="accent5">
                  <a:lumMod val="50000"/>
                  <a:lumOff val="50000"/>
                </a:schemeClr>
              </a:solidFill>
              <a:ln w="19050">
                <a:solidFill>
                  <a:schemeClr val="lt1"/>
                </a:solidFill>
              </a:ln>
              <a:effectLst/>
            </c:spPr>
          </c:dPt>
          <c:dPt>
            <c:idx val="107"/>
            <c:bubble3D val="0"/>
            <c:spPr>
              <a:solidFill>
                <a:schemeClr val="accent6">
                  <a:lumMod val="50000"/>
                  <a:lumOff val="50000"/>
                </a:schemeClr>
              </a:solidFill>
              <a:ln w="19050">
                <a:solidFill>
                  <a:schemeClr val="lt1"/>
                </a:solidFill>
              </a:ln>
              <a:effectLst/>
            </c:spPr>
          </c:dPt>
          <c:dPt>
            <c:idx val="108"/>
            <c:bubble3D val="0"/>
            <c:spPr>
              <a:solidFill>
                <a:schemeClr val="accent1"/>
              </a:solidFill>
              <a:ln w="19050">
                <a:solidFill>
                  <a:schemeClr val="lt1"/>
                </a:solidFill>
              </a:ln>
              <a:effectLst/>
            </c:spPr>
          </c:dPt>
          <c:dPt>
            <c:idx val="109"/>
            <c:bubble3D val="0"/>
            <c:spPr>
              <a:solidFill>
                <a:schemeClr val="accent2"/>
              </a:solidFill>
              <a:ln w="19050">
                <a:solidFill>
                  <a:schemeClr val="lt1"/>
                </a:solidFill>
              </a:ln>
              <a:effectLst/>
            </c:spPr>
          </c:dPt>
          <c:cat>
            <c:strRef>
              <c:f>'PRODUCT CONT TO AVERAGE R'!$A$4:$A$114</c:f>
              <c:strCache>
                <c:ptCount val="110"/>
                <c:pt idx="0">
                  <c:v>1/2/3 Seater Elastic Sofa Cover,Living Room/Home Decor Chair Cover-Grey</c:v>
                </c:pt>
                <c:pt idx="1">
                  <c:v>100 Pcs Crochet Hook Tool Set Knitting Hook Set With Box</c:v>
                </c:pt>
                <c:pt idx="2">
                  <c:v>115  Piece Set Of Multifunctional Precision Screwdrivers</c:v>
                </c:pt>
                <c:pt idx="3">
                  <c:v>12 Litre Black Insulated Lunch Box</c:v>
                </c:pt>
                <c:pt idx="4">
                  <c:v>12 Litre Insulated Lunch Box Grey</c:v>
                </c:pt>
                <c:pt idx="5">
                  <c:v>120W Cordless Vacuum Cleaners Handheld Electric Vacuum Cleaner</c:v>
                </c:pt>
                <c:pt idx="6">
                  <c:v>12V 19500rpm Handheld Electric Angle Grinder Tool - UK - Yellow/Black</c:v>
                </c:pt>
                <c:pt idx="7">
                  <c:v>13 In 1 Home Repair Tools Box Kit Set</c:v>
                </c:pt>
                <c:pt idx="8">
                  <c:v>137 Pieces Cake Decorating Tool Set Baking Supplies</c:v>
                </c:pt>
                <c:pt idx="9">
                  <c:v>1PC Refrigerator Food Seal Pocket Fridge Bags</c:v>
                </c:pt>
                <c:pt idx="10">
                  <c:v>2 Pairs Cowhide Split Leather Work Gloves.32â„‰ Or Above Welding Gloves</c:v>
                </c:pt>
                <c:pt idx="11">
                  <c:v>220V 60W Electric Soldering Iron Kits With Tools, Tips, And Multimeter</c:v>
                </c:pt>
                <c:pt idx="12">
                  <c:v>24 Grid Wall-mounted Sundries Organiser Fabric Closet Bag Storage Rack</c:v>
                </c:pt>
                <c:pt idx="13">
                  <c:v>2PCS Ice Silk Square Cushion Cover Pillowcases - 65x65cm</c:v>
                </c:pt>
                <c:pt idx="14">
                  <c:v>2pcs Solar Street Light Flood Light Outdoor</c:v>
                </c:pt>
                <c:pt idx="15">
                  <c:v>2PCS/LOT Solar LED Outdoor Intelligent Light Controlled Wall Lamp</c:v>
                </c:pt>
                <c:pt idx="16">
                  <c:v>32PCS Portable Cordless Drill Set With Cyclic Battery Drive -26 Variable Speed</c:v>
                </c:pt>
                <c:pt idx="17">
                  <c:v>380ML USB Rechargeable Portable Small Blenders And Juicers</c:v>
                </c:pt>
                <c:pt idx="18">
                  <c:v>3D Waterproof EVA Plastic Shower Curtain 1.8*2Mtrs</c:v>
                </c:pt>
                <c:pt idx="19">
                  <c:v>3PCS Rotary Scraper Thermomix For Kitchen</c:v>
                </c:pt>
                <c:pt idx="20">
                  <c:v>3PCS Single Head Knitting Crochet Sweater Needle Set</c:v>
                </c:pt>
                <c:pt idx="21">
                  <c:v>4 Piece Coloured Stainless Steel Kitchenware Set</c:v>
                </c:pt>
                <c:pt idx="22">
                  <c:v>40cm Gold DIY Acrylic Wall Sticker Clock</c:v>
                </c:pt>
                <c:pt idx="23">
                  <c:v>4M Float Switch Water Level Controller -Water Tank</c:v>
                </c:pt>
                <c:pt idx="24">
                  <c:v>4pcs Bathroom/Kitchen Towel Rack,Roll Paper Holder,Towel Bars,Hook</c:v>
                </c:pt>
                <c:pt idx="25">
                  <c:v>5 Pieces/set Of Stainless Steel Induction Cooker Pots</c:v>
                </c:pt>
                <c:pt idx="26">
                  <c:v>52 Pieces Cake Decorating Tool Set Gift Kit Baking Supplies</c:v>
                </c:pt>
                <c:pt idx="27">
                  <c:v>53 Pieces/Set Yarn Knitting Crochet Hooks With Bag - Pansies</c:v>
                </c:pt>
                <c:pt idx="28">
                  <c:v>53Pcs/Set Yarn Knitting Crochet Hooks With Bag - Fortune Cat</c:v>
                </c:pt>
                <c:pt idx="29">
                  <c:v>5m Waterproof Spherical LED String Lights Outdoor Ball Chain Lights Party Lighting Decoration Adjustable</c:v>
                </c:pt>
                <c:pt idx="30">
                  <c:v>5-PCS Stainless Steel Cooking Pot Set With Steamed Slices</c:v>
                </c:pt>
                <c:pt idx="31">
                  <c:v>6 In 1 Bottle Can Opener Multifunctional Easy Opener</c:v>
                </c:pt>
                <c:pt idx="32">
                  <c:v>6 Layers Steel Pipe Assembling Dustproof Storage Shoe Cabinet</c:v>
                </c:pt>
                <c:pt idx="33">
                  <c:v>60W Hot Melt Glue Sprayer - Efficient And Stable Glue Dispensing</c:v>
                </c:pt>
                <c:pt idx="34">
                  <c:v>7PCS Silicone Thumb Knife Finger Protector Vegetable Harvesting Knife</c:v>
                </c:pt>
                <c:pt idx="35">
                  <c:v>7-piece Set Of Storage Bags, Travel Storage Bags, Shoe Bags</c:v>
                </c:pt>
                <c:pt idx="36">
                  <c:v>8in1 Screwdriver With LED Light</c:v>
                </c:pt>
                <c:pt idx="37">
                  <c:v>9pcs Gas Mask, For Painting, Dust, Formaldehyde Grinding, Polishing</c:v>
                </c:pt>
                <c:pt idx="38">
                  <c:v>Agapeon Toothbrush Holder And Toothpaste Dispenser</c:v>
                </c:pt>
                <c:pt idx="39">
                  <c:v>Angle Measuring Tool Full Metal Multi Angle Measuring Tool</c:v>
                </c:pt>
                <c:pt idx="40">
                  <c:v>Anti-Skid Absorbent Insulation Coaster  For Home Office</c:v>
                </c:pt>
                <c:pt idx="41">
                  <c:v>Artificial Potted Flowers Room Decorative Flowers (2 Pieces)</c:v>
                </c:pt>
                <c:pt idx="42">
                  <c:v>Baby Early Education Shape And Color Cognitive Training Toys</c:v>
                </c:pt>
                <c:pt idx="43">
                  <c:v>Balloon Insert, Birthday Party Balloon Set, PU Leather</c:v>
                </c:pt>
                <c:pt idx="44">
                  <c:v>Bedroom Simple Floor Hanging Clothes Rack Single Pole Hat Rack - White</c:v>
                </c:pt>
                <c:pt idx="45">
                  <c:v>Black Simple Water Cup Wine Coaster Anti Slip Absorbent</c:v>
                </c:pt>
                <c:pt idx="46">
                  <c:v>Brush &amp; Paintbrush Cleaning Tool Pink</c:v>
                </c:pt>
                <c:pt idx="47">
                  <c:v>Car Phone Charging Stand</c:v>
                </c:pt>
                <c:pt idx="48">
                  <c:v>Cartoon Car Decoration Cute Individuality For Car Home Desk</c:v>
                </c:pt>
                <c:pt idx="49">
                  <c:v>Cartoon Embroidered Mini Towel Bear Cotton Wash Cloth Hand 4pcs</c:v>
                </c:pt>
                <c:pt idx="50">
                  <c:v>Christmas Elk Fence Yard Lawn Decorations Cute For Holidays</c:v>
                </c:pt>
                <c:pt idx="51">
                  <c:v>Christmas Fence Garden Decorations Outdoor For Holiday Home</c:v>
                </c:pt>
                <c:pt idx="52">
                  <c:v>Classic Black Cat Cotton Hemp Pillow Case For Home Car</c:v>
                </c:pt>
                <c:pt idx="53">
                  <c:v>Creative Owl Shape Keychain Black</c:v>
                </c:pt>
                <c:pt idx="54">
                  <c:v>Cushion Silicone Butt Cushion Summer Ice Cushion Honeycomb Gel Cushion</c:v>
                </c:pt>
                <c:pt idx="55">
                  <c:v>Cute Christmas Fence Garden Decorations For Holiday Home</c:v>
                </c:pt>
                <c:pt idx="56">
                  <c:v>Desk Foldable Fan Adjustable Fan Strong Wind 3 Gear Usb</c:v>
                </c:pt>
                <c:pt idx="57">
                  <c:v>DIY File Folder, Office Drawer File Holder, Pen Holder, Desktop Storage Rack</c:v>
                </c:pt>
                <c:pt idx="58">
                  <c:v>Electric LED UV Mosquito Killer Lamp, Outdoor/Indoor Fly Killer Trap Light -USB</c:v>
                </c:pt>
                <c:pt idx="59">
                  <c:v>Electronic Digital Display Vernier Caliper</c:v>
                </c:pt>
                <c:pt idx="60">
                  <c:v>Exfoliate And Exfoliate Face Towel - Black</c:v>
                </c:pt>
                <c:pt idx="61">
                  <c:v>Foldable Overbed Table/Desk</c:v>
                </c:pt>
                <c:pt idx="62">
                  <c:v>Genebre 115 In 1 Screwdriver Repairing Tool Set For IPhone Cellphone Hand Tool</c:v>
                </c:pt>
                <c:pt idx="63">
                  <c:v>Household Pineapple Peeler Peeler</c:v>
                </c:pt>
                <c:pt idx="64">
                  <c:v>Intelligent  LED Body Sensor Wireless Lighting Night Light USB</c:v>
                </c:pt>
                <c:pt idx="65">
                  <c:v>Konka Healty Electric Kettle, 24-hour Heat Preservation,1.5L,800W, White</c:v>
                </c:pt>
                <c:pt idx="66">
                  <c:v>Large Lazy Inflatable Sofa Chairs PVC Lounger Seat Bag</c:v>
                </c:pt>
                <c:pt idx="67">
                  <c:v>LASA 3 Tier Bamboo Shoe Bench Storage Shelf</c:v>
                </c:pt>
                <c:pt idx="68">
                  <c:v>LASA Aluminum Folding Truck Hand Cart - 68kg Max</c:v>
                </c:pt>
                <c:pt idx="69">
                  <c:v>LASA Digital Thermometer And Hydrometer</c:v>
                </c:pt>
                <c:pt idx="70">
                  <c:v>LASA FOLDING TABLE SERVING STAND</c:v>
                </c:pt>
                <c:pt idx="71">
                  <c:v>LASA Stainless Steel Double Wall Mount Soap Dispenser - 500ml</c:v>
                </c:pt>
                <c:pt idx="72">
                  <c:v>LED Eye Protection  Desk Lamp , Study, Reading, USB Fan - Double Pen Holder</c:v>
                </c:pt>
                <c:pt idx="73">
                  <c:v>LED Romantic Spaceship Starry Sky Projector,Children's Bedroom Night Light-Blue</c:v>
                </c:pt>
                <c:pt idx="74">
                  <c:v>LED Solar Street Light-fake Camera</c:v>
                </c:pt>
                <c:pt idx="75">
                  <c:v>LED Wall Digital Alarm Clock Study Home 12 / 24H Clock Calendar</c:v>
                </c:pt>
                <c:pt idx="76">
                  <c:v>Memory Foam Neck Pillow Cover, With Pillow Core - 50*30cm</c:v>
                </c:pt>
                <c:pt idx="77">
                  <c:v>Metal Decorative Hooks Key Hangers Entryway Wall Hooks Towel Hooks - Home</c:v>
                </c:pt>
                <c:pt idx="78">
                  <c:v>Metal Wall Clock Silver Dial Crystal Jewelry Round Home Decoration Wall Clock</c:v>
                </c:pt>
                <c:pt idx="79">
                  <c:v>Modern Sofa Throw Pillow Cover-45x45cm-Blue&amp;Red</c:v>
                </c:pt>
                <c:pt idx="80">
                  <c:v>Multifunction Laser Level With Adjustment Tripod</c:v>
                </c:pt>
                <c:pt idx="81">
                  <c:v>Multifunctional Hanging Storage Box Storage Bag (4 Layers)</c:v>
                </c:pt>
                <c:pt idx="82">
                  <c:v>MultiFunctional Storage Rack Multi-layer Bookshelf</c:v>
                </c:pt>
                <c:pt idx="83">
                  <c:v>Multi-purpose Rice Drainage Basket And Fruit And Vegetable Drainage Sieve</c:v>
                </c:pt>
                <c:pt idx="84">
                  <c:v>Mythco 120COB Solar Wall Ligt With Motion Sensor And Remote Control 3 Modes</c:v>
                </c:pt>
                <c:pt idx="85">
                  <c:v>Office Chair Lumbar Back Support Spine Posture Correction Pillow Car Cushion</c:v>
                </c:pt>
                <c:pt idx="86">
                  <c:v>Outdoor Portable Water Bottle With Medicine Box - 600ML - Black</c:v>
                </c:pt>
                <c:pt idx="87">
                  <c:v>Peacock  Throw Pillow Cushion Case For Home Car</c:v>
                </c:pt>
                <c:pt idx="88">
                  <c:v>Pen Grips For Kids Pen Grip Posture Correction Tool For Kids</c:v>
                </c:pt>
                <c:pt idx="89">
                  <c:v>Pilates Cloth Bag Waterproof Durable High Capacity Purple</c:v>
                </c:pt>
                <c:pt idx="90">
                  <c:v>Portable Home Small Air Humidifier 3-Speed Fan - Green</c:v>
                </c:pt>
                <c:pt idx="91">
                  <c:v>Portable Mini Cordless Car Vacuum Cleaner - Blue</c:v>
                </c:pt>
                <c:pt idx="92">
                  <c:v>Portable Soap Dispenser Kitchen Detergent Press Box Kitchen Tools</c:v>
                </c:pt>
                <c:pt idx="93">
                  <c:v>Portable Wardrobe Nonwoven With 3 Hanging Rods And 6 Storage Shelves</c:v>
                </c:pt>
                <c:pt idx="94">
                  <c:v>Portable Wine Table With Folding Round Table</c:v>
                </c:pt>
                <c:pt idx="95">
                  <c:v>Punch-free Great Load Bearing Bathroom Storage Rack Wall Shelf-White</c:v>
                </c:pt>
                <c:pt idx="96">
                  <c:v>Sewing Machine Needle Threader Stitch Insertion Tool Automatic Quick Sewing</c:v>
                </c:pt>
                <c:pt idx="97">
                  <c:v>Shower Cap Wide Elastic Band Cover Reusable Bashroom Cap</c:v>
                </c:pt>
                <c:pt idx="98">
                  <c:v>Shower Nozzle Cleaning Unclogging Needle Mini Crevice Small Hole Cleaning Brush</c:v>
                </c:pt>
                <c:pt idx="99">
                  <c:v>Simple Metal Dog Art Sculpture Decoration For Home Office</c:v>
                </c:pt>
                <c:pt idx="100">
                  <c:v>Thickening Multipurpose Non Stick Easy To Clean Heat Resistant Spoon Pad</c:v>
                </c:pt>
                <c:pt idx="101">
                  <c:v>VIC Wireless Vacuum Cleaner Dual Use For Home And Car 120W High Power Powerful</c:v>
                </c:pt>
                <c:pt idx="102">
                  <c:v>Wall Clock With Hidden Safe Box</c:v>
                </c:pt>
                <c:pt idx="103">
                  <c:v>Wall Mount Automatic Toothpaste Dispenser Toothbrush Holder Toothpaste Squeezer</c:v>
                </c:pt>
                <c:pt idx="104">
                  <c:v>Wall-mounted Sticker Punch-free Plug Fixer</c:v>
                </c:pt>
                <c:pt idx="105">
                  <c:v>Wall-Mounted Toothbrush Toothpaste Holder With Multiple Slots</c:v>
                </c:pt>
                <c:pt idx="106">
                  <c:v>Watercolour Gold Foil Textured Print Pillow Cover</c:v>
                </c:pt>
                <c:pt idx="107">
                  <c:v>Weighing Scale Digital Bathroom Body Fat Scale USB-Black</c:v>
                </c:pt>
                <c:pt idx="108">
                  <c:v>Wrought Iron Bathroom Shelf Wall Mounted Free Punch Toilet Rack</c:v>
                </c:pt>
                <c:pt idx="109">
                  <c:v>(blank)</c:v>
                </c:pt>
              </c:strCache>
            </c:strRef>
          </c:cat>
          <c:val>
            <c:numRef>
              <c:f>'PRODUCT CONT TO AVERAGE R'!$C$4:$C$114</c:f>
              <c:numCache>
                <c:formatCode>General</c:formatCode>
                <c:ptCount val="110"/>
                <c:pt idx="0">
                  <c:v>4.5</c:v>
                </c:pt>
                <c:pt idx="1">
                  <c:v>4.7</c:v>
                </c:pt>
                <c:pt idx="2">
                  <c:v>4.5</c:v>
                </c:pt>
                <c:pt idx="3">
                  <c:v>3.8</c:v>
                </c:pt>
                <c:pt idx="4">
                  <c:v>4.7</c:v>
                </c:pt>
                <c:pt idx="5">
                  <c:v>2.8</c:v>
                </c:pt>
                <c:pt idx="6">
                  <c:v>#N/A</c:v>
                </c:pt>
                <c:pt idx="7">
                  <c:v>3.8</c:v>
                </c:pt>
                <c:pt idx="8">
                  <c:v>4.5999999999999996</c:v>
                </c:pt>
                <c:pt idx="9">
                  <c:v>#N/A</c:v>
                </c:pt>
                <c:pt idx="10">
                  <c:v>#N/A</c:v>
                </c:pt>
                <c:pt idx="11">
                  <c:v>4</c:v>
                </c:pt>
                <c:pt idx="12">
                  <c:v>#N/A</c:v>
                </c:pt>
                <c:pt idx="13">
                  <c:v>#N/A</c:v>
                </c:pt>
                <c:pt idx="14">
                  <c:v>#N/A</c:v>
                </c:pt>
                <c:pt idx="15">
                  <c:v>#N/A</c:v>
                </c:pt>
                <c:pt idx="16">
                  <c:v>3</c:v>
                </c:pt>
                <c:pt idx="17">
                  <c:v>2.2999999999999998</c:v>
                </c:pt>
                <c:pt idx="18">
                  <c:v>4.5999999999999996</c:v>
                </c:pt>
                <c:pt idx="19">
                  <c:v>#N/A</c:v>
                </c:pt>
                <c:pt idx="20">
                  <c:v>3.3</c:v>
                </c:pt>
                <c:pt idx="21">
                  <c:v>#N/A</c:v>
                </c:pt>
                <c:pt idx="22">
                  <c:v>4.8</c:v>
                </c:pt>
                <c:pt idx="23">
                  <c:v>#N/A</c:v>
                </c:pt>
                <c:pt idx="24">
                  <c:v>#N/A</c:v>
                </c:pt>
                <c:pt idx="25">
                  <c:v>2.5</c:v>
                </c:pt>
                <c:pt idx="26">
                  <c:v>4.0999999999999996</c:v>
                </c:pt>
                <c:pt idx="27">
                  <c:v>4.5</c:v>
                </c:pt>
                <c:pt idx="28">
                  <c:v>4.7</c:v>
                </c:pt>
                <c:pt idx="29">
                  <c:v>#N/A</c:v>
                </c:pt>
                <c:pt idx="30">
                  <c:v>2.1</c:v>
                </c:pt>
                <c:pt idx="31">
                  <c:v>#N/A</c:v>
                </c:pt>
                <c:pt idx="32">
                  <c:v>#N/A</c:v>
                </c:pt>
                <c:pt idx="33">
                  <c:v>#N/A</c:v>
                </c:pt>
                <c:pt idx="34">
                  <c:v>#N/A</c:v>
                </c:pt>
                <c:pt idx="35">
                  <c:v>2.2000000000000002</c:v>
                </c:pt>
                <c:pt idx="36">
                  <c:v>#N/A</c:v>
                </c:pt>
                <c:pt idx="37">
                  <c:v>#N/A</c:v>
                </c:pt>
                <c:pt idx="38">
                  <c:v>2.6</c:v>
                </c:pt>
                <c:pt idx="39">
                  <c:v>#N/A</c:v>
                </c:pt>
                <c:pt idx="40">
                  <c:v>5</c:v>
                </c:pt>
                <c:pt idx="41">
                  <c:v>2.2000000000000002</c:v>
                </c:pt>
                <c:pt idx="42">
                  <c:v>#N/A</c:v>
                </c:pt>
                <c:pt idx="43">
                  <c:v>#N/A</c:v>
                </c:pt>
                <c:pt idx="44">
                  <c:v>5</c:v>
                </c:pt>
                <c:pt idx="45">
                  <c:v>#N/A</c:v>
                </c:pt>
                <c:pt idx="46">
                  <c:v>#N/A</c:v>
                </c:pt>
                <c:pt idx="47">
                  <c:v>#N/A</c:v>
                </c:pt>
                <c:pt idx="48">
                  <c:v>#N/A</c:v>
                </c:pt>
                <c:pt idx="49">
                  <c:v>#N/A</c:v>
                </c:pt>
                <c:pt idx="50">
                  <c:v>#N/A</c:v>
                </c:pt>
                <c:pt idx="51">
                  <c:v>#N/A</c:v>
                </c:pt>
                <c:pt idx="52">
                  <c:v>5</c:v>
                </c:pt>
                <c:pt idx="53">
                  <c:v>#N/A</c:v>
                </c:pt>
                <c:pt idx="54">
                  <c:v>#N/A</c:v>
                </c:pt>
                <c:pt idx="55">
                  <c:v>#N/A</c:v>
                </c:pt>
                <c:pt idx="56">
                  <c:v>4</c:v>
                </c:pt>
                <c:pt idx="57">
                  <c:v>5</c:v>
                </c:pt>
                <c:pt idx="58">
                  <c:v>2.1</c:v>
                </c:pt>
                <c:pt idx="59">
                  <c:v>4.5999999999999996</c:v>
                </c:pt>
                <c:pt idx="60">
                  <c:v>4.3</c:v>
                </c:pt>
                <c:pt idx="61">
                  <c:v>4.4000000000000004</c:v>
                </c:pt>
                <c:pt idx="62">
                  <c:v>4.0999999999999996</c:v>
                </c:pt>
                <c:pt idx="63">
                  <c:v>4</c:v>
                </c:pt>
                <c:pt idx="64">
                  <c:v>2.7</c:v>
                </c:pt>
                <c:pt idx="65">
                  <c:v>5</c:v>
                </c:pt>
                <c:pt idx="66">
                  <c:v>3</c:v>
                </c:pt>
                <c:pt idx="67">
                  <c:v>4.3</c:v>
                </c:pt>
                <c:pt idx="68">
                  <c:v>5</c:v>
                </c:pt>
                <c:pt idx="69">
                  <c:v>4.5</c:v>
                </c:pt>
                <c:pt idx="70">
                  <c:v>4.8</c:v>
                </c:pt>
                <c:pt idx="71">
                  <c:v>#N/A</c:v>
                </c:pt>
                <c:pt idx="72">
                  <c:v>4.3</c:v>
                </c:pt>
                <c:pt idx="73">
                  <c:v>4</c:v>
                </c:pt>
                <c:pt idx="74">
                  <c:v>#N/A</c:v>
                </c:pt>
                <c:pt idx="75">
                  <c:v>4.5999999999999996</c:v>
                </c:pt>
                <c:pt idx="76">
                  <c:v>3</c:v>
                </c:pt>
                <c:pt idx="77">
                  <c:v>4.0999999999999996</c:v>
                </c:pt>
                <c:pt idx="78">
                  <c:v>#N/A</c:v>
                </c:pt>
                <c:pt idx="79">
                  <c:v>#N/A</c:v>
                </c:pt>
                <c:pt idx="80">
                  <c:v>4.2</c:v>
                </c:pt>
                <c:pt idx="81">
                  <c:v>#N/A</c:v>
                </c:pt>
                <c:pt idx="82">
                  <c:v>#N/A</c:v>
                </c:pt>
                <c:pt idx="83">
                  <c:v>#N/A</c:v>
                </c:pt>
                <c:pt idx="84">
                  <c:v>3</c:v>
                </c:pt>
                <c:pt idx="85">
                  <c:v>#N/A</c:v>
                </c:pt>
                <c:pt idx="86">
                  <c:v>#N/A</c:v>
                </c:pt>
                <c:pt idx="87">
                  <c:v>5</c:v>
                </c:pt>
                <c:pt idx="88">
                  <c:v>#N/A</c:v>
                </c:pt>
                <c:pt idx="89">
                  <c:v>#N/A</c:v>
                </c:pt>
                <c:pt idx="90">
                  <c:v>4.8</c:v>
                </c:pt>
                <c:pt idx="91">
                  <c:v>4.5999999999999996</c:v>
                </c:pt>
                <c:pt idx="92">
                  <c:v>#N/A</c:v>
                </c:pt>
                <c:pt idx="93">
                  <c:v>3.8</c:v>
                </c:pt>
                <c:pt idx="94">
                  <c:v>#N/A</c:v>
                </c:pt>
                <c:pt idx="95">
                  <c:v>4.3</c:v>
                </c:pt>
                <c:pt idx="96">
                  <c:v>#N/A</c:v>
                </c:pt>
                <c:pt idx="97">
                  <c:v>#N/A</c:v>
                </c:pt>
                <c:pt idx="98">
                  <c:v>#N/A</c:v>
                </c:pt>
                <c:pt idx="99">
                  <c:v>#N/A</c:v>
                </c:pt>
                <c:pt idx="100">
                  <c:v>#N/A</c:v>
                </c:pt>
                <c:pt idx="101">
                  <c:v>2.9</c:v>
                </c:pt>
                <c:pt idx="102">
                  <c:v>#N/A</c:v>
                </c:pt>
                <c:pt idx="103">
                  <c:v>#N/A</c:v>
                </c:pt>
                <c:pt idx="104">
                  <c:v>2</c:v>
                </c:pt>
                <c:pt idx="105">
                  <c:v>#N/A</c:v>
                </c:pt>
                <c:pt idx="106">
                  <c:v>2.2999999999999998</c:v>
                </c:pt>
                <c:pt idx="107">
                  <c:v>4.7</c:v>
                </c:pt>
                <c:pt idx="108">
                  <c:v>3</c:v>
                </c:pt>
                <c:pt idx="109">
                  <c:v>2</c:v>
                </c:pt>
              </c:numCache>
            </c:numRef>
          </c:val>
          <c:extLst>
            <c:ext xmlns:c16="http://schemas.microsoft.com/office/drawing/2014/chart" uri="{C3380CC4-5D6E-409C-BE32-E72D297353CC}">
              <c16:uniqueId val="{00000003-E8AD-44BF-BEA8-A1FB556B31E6}"/>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0990548552048685"/>
          <c:y val="0.34344455766558596"/>
          <c:w val="0.33333324569821093"/>
          <c:h val="0.6419086614173227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[Excel_jumia.xlsx]PRODUCT CONT TO AVERAGE R!PivotTable25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0000"/>
                </a:solidFill>
              </a:rPr>
              <a:t>Count of Product to average</a:t>
            </a:r>
            <a:r>
              <a:rPr lang="en-US" baseline="0">
                <a:solidFill>
                  <a:srgbClr val="FF0000"/>
                </a:solidFill>
              </a:rPr>
              <a:t> rating</a:t>
            </a:r>
            <a:endParaRPr lang="en-US">
              <a:solidFill>
                <a:srgbClr val="FF0000"/>
              </a:solidFill>
            </a:endParaRPr>
          </a:p>
        </c:rich>
      </c:tx>
      <c:layout>
        <c:manualLayout>
          <c:xMode val="edge"/>
          <c:yMode val="edge"/>
          <c:x val="0.22011111111111112"/>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'PRODUCT CONT TO AVERAGE R'!$B$3</c:f>
              <c:strCache>
                <c:ptCount val="1"/>
                <c:pt idx="0">
                  <c:v>Count of Product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dPt>
            <c:idx val="62"/>
            <c:bubble3D val="0"/>
            <c:spPr>
              <a:solidFill>
                <a:schemeClr val="accent3">
                  <a:lumMod val="60000"/>
                </a:schemeClr>
              </a:solidFill>
              <a:ln w="19050">
                <a:solidFill>
                  <a:schemeClr val="lt1"/>
                </a:solidFill>
              </a:ln>
              <a:effectLst/>
            </c:spPr>
          </c:dPt>
          <c:dPt>
            <c:idx val="63"/>
            <c:bubble3D val="0"/>
            <c:spPr>
              <a:solidFill>
                <a:schemeClr val="accent4">
                  <a:lumMod val="60000"/>
                </a:schemeClr>
              </a:solidFill>
              <a:ln w="19050">
                <a:solidFill>
                  <a:schemeClr val="lt1"/>
                </a:solidFill>
              </a:ln>
              <a:effectLst/>
            </c:spPr>
          </c:dPt>
          <c:dPt>
            <c:idx val="64"/>
            <c:bubble3D val="0"/>
            <c:spPr>
              <a:solidFill>
                <a:schemeClr val="accent5">
                  <a:lumMod val="60000"/>
                </a:schemeClr>
              </a:solidFill>
              <a:ln w="19050">
                <a:solidFill>
                  <a:schemeClr val="lt1"/>
                </a:solidFill>
              </a:ln>
              <a:effectLst/>
            </c:spPr>
          </c:dPt>
          <c:dPt>
            <c:idx val="65"/>
            <c:bubble3D val="0"/>
            <c:spPr>
              <a:solidFill>
                <a:schemeClr val="accent6">
                  <a:lumMod val="60000"/>
                </a:schemeClr>
              </a:solidFill>
              <a:ln w="19050">
                <a:solidFill>
                  <a:schemeClr val="lt1"/>
                </a:solidFill>
              </a:ln>
              <a:effectLst/>
            </c:spPr>
          </c:dPt>
          <c:dPt>
            <c:idx val="66"/>
            <c:bubble3D val="0"/>
            <c:spPr>
              <a:solidFill>
                <a:schemeClr val="accent1">
                  <a:lumMod val="80000"/>
                  <a:lumOff val="20000"/>
                </a:schemeClr>
              </a:solidFill>
              <a:ln w="19050">
                <a:solidFill>
                  <a:schemeClr val="lt1"/>
                </a:solidFill>
              </a:ln>
              <a:effectLst/>
            </c:spPr>
          </c:dPt>
          <c:dPt>
            <c:idx val="67"/>
            <c:bubble3D val="0"/>
            <c:spPr>
              <a:solidFill>
                <a:schemeClr val="accent2">
                  <a:lumMod val="80000"/>
                  <a:lumOff val="20000"/>
                </a:schemeClr>
              </a:solidFill>
              <a:ln w="19050">
                <a:solidFill>
                  <a:schemeClr val="lt1"/>
                </a:solidFill>
              </a:ln>
              <a:effectLst/>
            </c:spPr>
          </c:dPt>
          <c:dPt>
            <c:idx val="68"/>
            <c:bubble3D val="0"/>
            <c:spPr>
              <a:solidFill>
                <a:schemeClr val="accent3">
                  <a:lumMod val="80000"/>
                  <a:lumOff val="20000"/>
                </a:schemeClr>
              </a:solidFill>
              <a:ln w="19050">
                <a:solidFill>
                  <a:schemeClr val="lt1"/>
                </a:solidFill>
              </a:ln>
              <a:effectLst/>
            </c:spPr>
          </c:dPt>
          <c:dPt>
            <c:idx val="69"/>
            <c:bubble3D val="0"/>
            <c:spPr>
              <a:solidFill>
                <a:schemeClr val="accent4">
                  <a:lumMod val="80000"/>
                  <a:lumOff val="20000"/>
                </a:schemeClr>
              </a:solidFill>
              <a:ln w="19050">
                <a:solidFill>
                  <a:schemeClr val="lt1"/>
                </a:solidFill>
              </a:ln>
              <a:effectLst/>
            </c:spPr>
          </c:dPt>
          <c:dPt>
            <c:idx val="70"/>
            <c:bubble3D val="0"/>
            <c:spPr>
              <a:solidFill>
                <a:schemeClr val="accent5">
                  <a:lumMod val="80000"/>
                  <a:lumOff val="20000"/>
                </a:schemeClr>
              </a:solidFill>
              <a:ln w="19050">
                <a:solidFill>
                  <a:schemeClr val="lt1"/>
                </a:solidFill>
              </a:ln>
              <a:effectLst/>
            </c:spPr>
          </c:dPt>
          <c:dPt>
            <c:idx val="71"/>
            <c:bubble3D val="0"/>
            <c:spPr>
              <a:solidFill>
                <a:schemeClr val="accent6">
                  <a:lumMod val="80000"/>
                  <a:lumOff val="20000"/>
                </a:schemeClr>
              </a:solidFill>
              <a:ln w="19050">
                <a:solidFill>
                  <a:schemeClr val="lt1"/>
                </a:solidFill>
              </a:ln>
              <a:effectLst/>
            </c:spPr>
          </c:dPt>
          <c:dPt>
            <c:idx val="72"/>
            <c:bubble3D val="0"/>
            <c:spPr>
              <a:solidFill>
                <a:schemeClr val="accent1">
                  <a:lumMod val="80000"/>
                </a:schemeClr>
              </a:solidFill>
              <a:ln w="19050">
                <a:solidFill>
                  <a:schemeClr val="lt1"/>
                </a:solidFill>
              </a:ln>
              <a:effectLst/>
            </c:spPr>
          </c:dPt>
          <c:dPt>
            <c:idx val="73"/>
            <c:bubble3D val="0"/>
            <c:spPr>
              <a:solidFill>
                <a:schemeClr val="accent2">
                  <a:lumMod val="80000"/>
                </a:schemeClr>
              </a:solidFill>
              <a:ln w="19050">
                <a:solidFill>
                  <a:schemeClr val="lt1"/>
                </a:solidFill>
              </a:ln>
              <a:effectLst/>
            </c:spPr>
          </c:dPt>
          <c:dPt>
            <c:idx val="74"/>
            <c:bubble3D val="0"/>
            <c:spPr>
              <a:solidFill>
                <a:schemeClr val="accent3">
                  <a:lumMod val="80000"/>
                </a:schemeClr>
              </a:solidFill>
              <a:ln w="19050">
                <a:solidFill>
                  <a:schemeClr val="lt1"/>
                </a:solidFill>
              </a:ln>
              <a:effectLst/>
            </c:spPr>
          </c:dPt>
          <c:dPt>
            <c:idx val="75"/>
            <c:bubble3D val="0"/>
            <c:spPr>
              <a:solidFill>
                <a:schemeClr val="accent4">
                  <a:lumMod val="80000"/>
                </a:schemeClr>
              </a:solidFill>
              <a:ln w="19050">
                <a:solidFill>
                  <a:schemeClr val="lt1"/>
                </a:solidFill>
              </a:ln>
              <a:effectLst/>
            </c:spPr>
          </c:dPt>
          <c:dPt>
            <c:idx val="76"/>
            <c:bubble3D val="0"/>
            <c:spPr>
              <a:solidFill>
                <a:schemeClr val="accent5">
                  <a:lumMod val="80000"/>
                </a:schemeClr>
              </a:solidFill>
              <a:ln w="19050">
                <a:solidFill>
                  <a:schemeClr val="lt1"/>
                </a:solidFill>
              </a:ln>
              <a:effectLst/>
            </c:spPr>
          </c:dPt>
          <c:dPt>
            <c:idx val="77"/>
            <c:bubble3D val="0"/>
            <c:spPr>
              <a:solidFill>
                <a:schemeClr val="accent6">
                  <a:lumMod val="80000"/>
                </a:schemeClr>
              </a:solidFill>
              <a:ln w="19050">
                <a:solidFill>
                  <a:schemeClr val="lt1"/>
                </a:solidFill>
              </a:ln>
              <a:effectLst/>
            </c:spPr>
          </c:dPt>
          <c:dPt>
            <c:idx val="78"/>
            <c:bubble3D val="0"/>
            <c:spPr>
              <a:solidFill>
                <a:schemeClr val="accent1">
                  <a:lumMod val="60000"/>
                  <a:lumOff val="40000"/>
                </a:schemeClr>
              </a:solidFill>
              <a:ln w="19050">
                <a:solidFill>
                  <a:schemeClr val="lt1"/>
                </a:solidFill>
              </a:ln>
              <a:effectLst/>
            </c:spPr>
          </c:dPt>
          <c:dPt>
            <c:idx val="79"/>
            <c:bubble3D val="0"/>
            <c:spPr>
              <a:solidFill>
                <a:schemeClr val="accent2">
                  <a:lumMod val="60000"/>
                  <a:lumOff val="40000"/>
                </a:schemeClr>
              </a:solidFill>
              <a:ln w="19050">
                <a:solidFill>
                  <a:schemeClr val="lt1"/>
                </a:solidFill>
              </a:ln>
              <a:effectLst/>
            </c:spPr>
          </c:dPt>
          <c:dPt>
            <c:idx val="80"/>
            <c:bubble3D val="0"/>
            <c:spPr>
              <a:solidFill>
                <a:schemeClr val="accent3">
                  <a:lumMod val="60000"/>
                  <a:lumOff val="40000"/>
                </a:schemeClr>
              </a:solidFill>
              <a:ln w="19050">
                <a:solidFill>
                  <a:schemeClr val="lt1"/>
                </a:solidFill>
              </a:ln>
              <a:effectLst/>
            </c:spPr>
          </c:dPt>
          <c:dPt>
            <c:idx val="81"/>
            <c:bubble3D val="0"/>
            <c:spPr>
              <a:solidFill>
                <a:schemeClr val="accent4">
                  <a:lumMod val="60000"/>
                  <a:lumOff val="40000"/>
                </a:schemeClr>
              </a:solidFill>
              <a:ln w="19050">
                <a:solidFill>
                  <a:schemeClr val="lt1"/>
                </a:solidFill>
              </a:ln>
              <a:effectLst/>
            </c:spPr>
          </c:dPt>
          <c:dPt>
            <c:idx val="82"/>
            <c:bubble3D val="0"/>
            <c:spPr>
              <a:solidFill>
                <a:schemeClr val="accent5">
                  <a:lumMod val="60000"/>
                  <a:lumOff val="40000"/>
                </a:schemeClr>
              </a:solidFill>
              <a:ln w="19050">
                <a:solidFill>
                  <a:schemeClr val="lt1"/>
                </a:solidFill>
              </a:ln>
              <a:effectLst/>
            </c:spPr>
          </c:dPt>
          <c:dPt>
            <c:idx val="83"/>
            <c:bubble3D val="0"/>
            <c:spPr>
              <a:solidFill>
                <a:schemeClr val="accent6">
                  <a:lumMod val="60000"/>
                  <a:lumOff val="40000"/>
                </a:schemeClr>
              </a:solidFill>
              <a:ln w="19050">
                <a:solidFill>
                  <a:schemeClr val="lt1"/>
                </a:solidFill>
              </a:ln>
              <a:effectLst/>
            </c:spPr>
          </c:dPt>
          <c:dPt>
            <c:idx val="84"/>
            <c:bubble3D val="0"/>
            <c:spPr>
              <a:solidFill>
                <a:schemeClr val="accent1">
                  <a:lumMod val="50000"/>
                </a:schemeClr>
              </a:solidFill>
              <a:ln w="19050">
                <a:solidFill>
                  <a:schemeClr val="lt1"/>
                </a:solidFill>
              </a:ln>
              <a:effectLst/>
            </c:spPr>
          </c:dPt>
          <c:dPt>
            <c:idx val="85"/>
            <c:bubble3D val="0"/>
            <c:spPr>
              <a:solidFill>
                <a:schemeClr val="accent2">
                  <a:lumMod val="50000"/>
                </a:schemeClr>
              </a:solidFill>
              <a:ln w="19050">
                <a:solidFill>
                  <a:schemeClr val="lt1"/>
                </a:solidFill>
              </a:ln>
              <a:effectLst/>
            </c:spPr>
          </c:dPt>
          <c:dPt>
            <c:idx val="86"/>
            <c:bubble3D val="0"/>
            <c:spPr>
              <a:solidFill>
                <a:schemeClr val="accent3">
                  <a:lumMod val="50000"/>
                </a:schemeClr>
              </a:solidFill>
              <a:ln w="19050">
                <a:solidFill>
                  <a:schemeClr val="lt1"/>
                </a:solidFill>
              </a:ln>
              <a:effectLst/>
            </c:spPr>
          </c:dPt>
          <c:dPt>
            <c:idx val="87"/>
            <c:bubble3D val="0"/>
            <c:spPr>
              <a:solidFill>
                <a:schemeClr val="accent4">
                  <a:lumMod val="50000"/>
                </a:schemeClr>
              </a:solidFill>
              <a:ln w="19050">
                <a:solidFill>
                  <a:schemeClr val="lt1"/>
                </a:solidFill>
              </a:ln>
              <a:effectLst/>
            </c:spPr>
          </c:dPt>
          <c:dPt>
            <c:idx val="88"/>
            <c:bubble3D val="0"/>
            <c:spPr>
              <a:solidFill>
                <a:schemeClr val="accent5">
                  <a:lumMod val="50000"/>
                </a:schemeClr>
              </a:solidFill>
              <a:ln w="19050">
                <a:solidFill>
                  <a:schemeClr val="lt1"/>
                </a:solidFill>
              </a:ln>
              <a:effectLst/>
            </c:spPr>
          </c:dPt>
          <c:dPt>
            <c:idx val="89"/>
            <c:bubble3D val="0"/>
            <c:spPr>
              <a:solidFill>
                <a:schemeClr val="accent6">
                  <a:lumMod val="50000"/>
                </a:schemeClr>
              </a:solidFill>
              <a:ln w="19050">
                <a:solidFill>
                  <a:schemeClr val="lt1"/>
                </a:solidFill>
              </a:ln>
              <a:effectLst/>
            </c:spPr>
          </c:dPt>
          <c:dPt>
            <c:idx val="90"/>
            <c:bubble3D val="0"/>
            <c:spPr>
              <a:solidFill>
                <a:schemeClr val="accent1">
                  <a:lumMod val="70000"/>
                  <a:lumOff val="30000"/>
                </a:schemeClr>
              </a:solidFill>
              <a:ln w="19050">
                <a:solidFill>
                  <a:schemeClr val="lt1"/>
                </a:solidFill>
              </a:ln>
              <a:effectLst/>
            </c:spPr>
          </c:dPt>
          <c:dPt>
            <c:idx val="91"/>
            <c:bubble3D val="0"/>
            <c:spPr>
              <a:solidFill>
                <a:schemeClr val="accent2">
                  <a:lumMod val="70000"/>
                  <a:lumOff val="30000"/>
                </a:schemeClr>
              </a:solidFill>
              <a:ln w="19050">
                <a:solidFill>
                  <a:schemeClr val="lt1"/>
                </a:solidFill>
              </a:ln>
              <a:effectLst/>
            </c:spPr>
          </c:dPt>
          <c:dPt>
            <c:idx val="92"/>
            <c:bubble3D val="0"/>
            <c:spPr>
              <a:solidFill>
                <a:schemeClr val="accent3">
                  <a:lumMod val="70000"/>
                  <a:lumOff val="30000"/>
                </a:schemeClr>
              </a:solidFill>
              <a:ln w="19050">
                <a:solidFill>
                  <a:schemeClr val="lt1"/>
                </a:solidFill>
              </a:ln>
              <a:effectLst/>
            </c:spPr>
          </c:dPt>
          <c:dPt>
            <c:idx val="93"/>
            <c:bubble3D val="0"/>
            <c:spPr>
              <a:solidFill>
                <a:schemeClr val="accent4">
                  <a:lumMod val="70000"/>
                  <a:lumOff val="30000"/>
                </a:schemeClr>
              </a:solidFill>
              <a:ln w="19050">
                <a:solidFill>
                  <a:schemeClr val="lt1"/>
                </a:solidFill>
              </a:ln>
              <a:effectLst/>
            </c:spPr>
          </c:dPt>
          <c:dPt>
            <c:idx val="94"/>
            <c:bubble3D val="0"/>
            <c:spPr>
              <a:solidFill>
                <a:schemeClr val="accent5">
                  <a:lumMod val="70000"/>
                  <a:lumOff val="30000"/>
                </a:schemeClr>
              </a:solidFill>
              <a:ln w="19050">
                <a:solidFill>
                  <a:schemeClr val="lt1"/>
                </a:solidFill>
              </a:ln>
              <a:effectLst/>
            </c:spPr>
          </c:dPt>
          <c:dPt>
            <c:idx val="95"/>
            <c:bubble3D val="0"/>
            <c:spPr>
              <a:solidFill>
                <a:schemeClr val="accent6">
                  <a:lumMod val="70000"/>
                  <a:lumOff val="30000"/>
                </a:schemeClr>
              </a:solidFill>
              <a:ln w="19050">
                <a:solidFill>
                  <a:schemeClr val="lt1"/>
                </a:solidFill>
              </a:ln>
              <a:effectLst/>
            </c:spPr>
          </c:dPt>
          <c:dPt>
            <c:idx val="96"/>
            <c:bubble3D val="0"/>
            <c:spPr>
              <a:solidFill>
                <a:schemeClr val="accent1">
                  <a:lumMod val="70000"/>
                </a:schemeClr>
              </a:solidFill>
              <a:ln w="19050">
                <a:solidFill>
                  <a:schemeClr val="lt1"/>
                </a:solidFill>
              </a:ln>
              <a:effectLst/>
            </c:spPr>
          </c:dPt>
          <c:dPt>
            <c:idx val="97"/>
            <c:bubble3D val="0"/>
            <c:spPr>
              <a:solidFill>
                <a:schemeClr val="accent2">
                  <a:lumMod val="70000"/>
                </a:schemeClr>
              </a:solidFill>
              <a:ln w="19050">
                <a:solidFill>
                  <a:schemeClr val="lt1"/>
                </a:solidFill>
              </a:ln>
              <a:effectLst/>
            </c:spPr>
          </c:dPt>
          <c:dPt>
            <c:idx val="98"/>
            <c:bubble3D val="0"/>
            <c:spPr>
              <a:solidFill>
                <a:schemeClr val="accent3">
                  <a:lumMod val="70000"/>
                </a:schemeClr>
              </a:solidFill>
              <a:ln w="19050">
                <a:solidFill>
                  <a:schemeClr val="lt1"/>
                </a:solidFill>
              </a:ln>
              <a:effectLst/>
            </c:spPr>
          </c:dPt>
          <c:dPt>
            <c:idx val="99"/>
            <c:bubble3D val="0"/>
            <c:spPr>
              <a:solidFill>
                <a:schemeClr val="accent4">
                  <a:lumMod val="70000"/>
                </a:schemeClr>
              </a:solidFill>
              <a:ln w="19050">
                <a:solidFill>
                  <a:schemeClr val="lt1"/>
                </a:solidFill>
              </a:ln>
              <a:effectLst/>
            </c:spPr>
          </c:dPt>
          <c:dPt>
            <c:idx val="100"/>
            <c:bubble3D val="0"/>
            <c:spPr>
              <a:solidFill>
                <a:schemeClr val="accent5">
                  <a:lumMod val="70000"/>
                </a:schemeClr>
              </a:solidFill>
              <a:ln w="19050">
                <a:solidFill>
                  <a:schemeClr val="lt1"/>
                </a:solidFill>
              </a:ln>
              <a:effectLst/>
            </c:spPr>
          </c:dPt>
          <c:dPt>
            <c:idx val="101"/>
            <c:bubble3D val="0"/>
            <c:spPr>
              <a:solidFill>
                <a:schemeClr val="accent6">
                  <a:lumMod val="70000"/>
                </a:schemeClr>
              </a:solidFill>
              <a:ln w="19050">
                <a:solidFill>
                  <a:schemeClr val="lt1"/>
                </a:solidFill>
              </a:ln>
              <a:effectLst/>
            </c:spPr>
          </c:dPt>
          <c:dPt>
            <c:idx val="102"/>
            <c:bubble3D val="0"/>
            <c:spPr>
              <a:solidFill>
                <a:schemeClr val="accent1">
                  <a:lumMod val="50000"/>
                  <a:lumOff val="50000"/>
                </a:schemeClr>
              </a:solidFill>
              <a:ln w="19050">
                <a:solidFill>
                  <a:schemeClr val="lt1"/>
                </a:solidFill>
              </a:ln>
              <a:effectLst/>
            </c:spPr>
          </c:dPt>
          <c:dPt>
            <c:idx val="103"/>
            <c:bubble3D val="0"/>
            <c:spPr>
              <a:solidFill>
                <a:schemeClr val="accent2">
                  <a:lumMod val="50000"/>
                  <a:lumOff val="50000"/>
                </a:schemeClr>
              </a:solidFill>
              <a:ln w="19050">
                <a:solidFill>
                  <a:schemeClr val="lt1"/>
                </a:solidFill>
              </a:ln>
              <a:effectLst/>
            </c:spPr>
          </c:dPt>
          <c:dPt>
            <c:idx val="104"/>
            <c:bubble3D val="0"/>
            <c:spPr>
              <a:solidFill>
                <a:schemeClr val="accent3">
                  <a:lumMod val="50000"/>
                  <a:lumOff val="50000"/>
                </a:schemeClr>
              </a:solidFill>
              <a:ln w="19050">
                <a:solidFill>
                  <a:schemeClr val="lt1"/>
                </a:solidFill>
              </a:ln>
              <a:effectLst/>
            </c:spPr>
          </c:dPt>
          <c:dPt>
            <c:idx val="105"/>
            <c:bubble3D val="0"/>
            <c:spPr>
              <a:solidFill>
                <a:schemeClr val="accent4">
                  <a:lumMod val="50000"/>
                  <a:lumOff val="50000"/>
                </a:schemeClr>
              </a:solidFill>
              <a:ln w="19050">
                <a:solidFill>
                  <a:schemeClr val="lt1"/>
                </a:solidFill>
              </a:ln>
              <a:effectLst/>
            </c:spPr>
          </c:dPt>
          <c:dPt>
            <c:idx val="106"/>
            <c:bubble3D val="0"/>
            <c:spPr>
              <a:solidFill>
                <a:schemeClr val="accent5">
                  <a:lumMod val="50000"/>
                  <a:lumOff val="50000"/>
                </a:schemeClr>
              </a:solidFill>
              <a:ln w="19050">
                <a:solidFill>
                  <a:schemeClr val="lt1"/>
                </a:solidFill>
              </a:ln>
              <a:effectLst/>
            </c:spPr>
          </c:dPt>
          <c:dPt>
            <c:idx val="107"/>
            <c:bubble3D val="0"/>
            <c:spPr>
              <a:solidFill>
                <a:schemeClr val="accent6">
                  <a:lumMod val="50000"/>
                  <a:lumOff val="50000"/>
                </a:schemeClr>
              </a:solidFill>
              <a:ln w="19050">
                <a:solidFill>
                  <a:schemeClr val="lt1"/>
                </a:solidFill>
              </a:ln>
              <a:effectLst/>
            </c:spPr>
          </c:dPt>
          <c:dPt>
            <c:idx val="108"/>
            <c:bubble3D val="0"/>
            <c:spPr>
              <a:solidFill>
                <a:schemeClr val="accent1"/>
              </a:solidFill>
              <a:ln w="19050">
                <a:solidFill>
                  <a:schemeClr val="lt1"/>
                </a:solidFill>
              </a:ln>
              <a:effectLst/>
            </c:spPr>
          </c:dPt>
          <c:dPt>
            <c:idx val="109"/>
            <c:bubble3D val="0"/>
            <c:spPr>
              <a:solidFill>
                <a:schemeClr val="accent2"/>
              </a:solidFill>
              <a:ln w="19050">
                <a:solidFill>
                  <a:schemeClr val="lt1"/>
                </a:solidFill>
              </a:ln>
              <a:effectLst/>
            </c:spPr>
          </c:dPt>
          <c:cat>
            <c:strRef>
              <c:f>'PRODUCT CONT TO AVERAGE R'!$A$4:$A$114</c:f>
              <c:strCache>
                <c:ptCount val="110"/>
                <c:pt idx="0">
                  <c:v>1/2/3 Seater Elastic Sofa Cover,Living Room/Home Decor Chair Cover-Grey</c:v>
                </c:pt>
                <c:pt idx="1">
                  <c:v>100 Pcs Crochet Hook Tool Set Knitting Hook Set With Box</c:v>
                </c:pt>
                <c:pt idx="2">
                  <c:v>115  Piece Set Of Multifunctional Precision Screwdrivers</c:v>
                </c:pt>
                <c:pt idx="3">
                  <c:v>12 Litre Black Insulated Lunch Box</c:v>
                </c:pt>
                <c:pt idx="4">
                  <c:v>12 Litre Insulated Lunch Box Grey</c:v>
                </c:pt>
                <c:pt idx="5">
                  <c:v>120W Cordless Vacuum Cleaners Handheld Electric Vacuum Cleaner</c:v>
                </c:pt>
                <c:pt idx="6">
                  <c:v>12V 19500rpm Handheld Electric Angle Grinder Tool - UK - Yellow/Black</c:v>
                </c:pt>
                <c:pt idx="7">
                  <c:v>13 In 1 Home Repair Tools Box Kit Set</c:v>
                </c:pt>
                <c:pt idx="8">
                  <c:v>137 Pieces Cake Decorating Tool Set Baking Supplies</c:v>
                </c:pt>
                <c:pt idx="9">
                  <c:v>1PC Refrigerator Food Seal Pocket Fridge Bags</c:v>
                </c:pt>
                <c:pt idx="10">
                  <c:v>2 Pairs Cowhide Split Leather Work Gloves.32â„‰ Or Above Welding Gloves</c:v>
                </c:pt>
                <c:pt idx="11">
                  <c:v>220V 60W Electric Soldering Iron Kits With Tools, Tips, And Multimeter</c:v>
                </c:pt>
                <c:pt idx="12">
                  <c:v>24 Grid Wall-mounted Sundries Organiser Fabric Closet Bag Storage Rack</c:v>
                </c:pt>
                <c:pt idx="13">
                  <c:v>2PCS Ice Silk Square Cushion Cover Pillowcases - 65x65cm</c:v>
                </c:pt>
                <c:pt idx="14">
                  <c:v>2pcs Solar Street Light Flood Light Outdoor</c:v>
                </c:pt>
                <c:pt idx="15">
                  <c:v>2PCS/LOT Solar LED Outdoor Intelligent Light Controlled Wall Lamp</c:v>
                </c:pt>
                <c:pt idx="16">
                  <c:v>32PCS Portable Cordless Drill Set With Cyclic Battery Drive -26 Variable Speed</c:v>
                </c:pt>
                <c:pt idx="17">
                  <c:v>380ML USB Rechargeable Portable Small Blenders And Juicers</c:v>
                </c:pt>
                <c:pt idx="18">
                  <c:v>3D Waterproof EVA Plastic Shower Curtain 1.8*2Mtrs</c:v>
                </c:pt>
                <c:pt idx="19">
                  <c:v>3PCS Rotary Scraper Thermomix For Kitchen</c:v>
                </c:pt>
                <c:pt idx="20">
                  <c:v>3PCS Single Head Knitting Crochet Sweater Needle Set</c:v>
                </c:pt>
                <c:pt idx="21">
                  <c:v>4 Piece Coloured Stainless Steel Kitchenware Set</c:v>
                </c:pt>
                <c:pt idx="22">
                  <c:v>40cm Gold DIY Acrylic Wall Sticker Clock</c:v>
                </c:pt>
                <c:pt idx="23">
                  <c:v>4M Float Switch Water Level Controller -Water Tank</c:v>
                </c:pt>
                <c:pt idx="24">
                  <c:v>4pcs Bathroom/Kitchen Towel Rack,Roll Paper Holder,Towel Bars,Hook</c:v>
                </c:pt>
                <c:pt idx="25">
                  <c:v>5 Pieces/set Of Stainless Steel Induction Cooker Pots</c:v>
                </c:pt>
                <c:pt idx="26">
                  <c:v>52 Pieces Cake Decorating Tool Set Gift Kit Baking Supplies</c:v>
                </c:pt>
                <c:pt idx="27">
                  <c:v>53 Pieces/Set Yarn Knitting Crochet Hooks With Bag - Pansies</c:v>
                </c:pt>
                <c:pt idx="28">
                  <c:v>53Pcs/Set Yarn Knitting Crochet Hooks With Bag - Fortune Cat</c:v>
                </c:pt>
                <c:pt idx="29">
                  <c:v>5m Waterproof Spherical LED String Lights Outdoor Ball Chain Lights Party Lighting Decoration Adjustable</c:v>
                </c:pt>
                <c:pt idx="30">
                  <c:v>5-PCS Stainless Steel Cooking Pot Set With Steamed Slices</c:v>
                </c:pt>
                <c:pt idx="31">
                  <c:v>6 In 1 Bottle Can Opener Multifunctional Easy Opener</c:v>
                </c:pt>
                <c:pt idx="32">
                  <c:v>6 Layers Steel Pipe Assembling Dustproof Storage Shoe Cabinet</c:v>
                </c:pt>
                <c:pt idx="33">
                  <c:v>60W Hot Melt Glue Sprayer - Efficient And Stable Glue Dispensing</c:v>
                </c:pt>
                <c:pt idx="34">
                  <c:v>7PCS Silicone Thumb Knife Finger Protector Vegetable Harvesting Knife</c:v>
                </c:pt>
                <c:pt idx="35">
                  <c:v>7-piece Set Of Storage Bags, Travel Storage Bags, Shoe Bags</c:v>
                </c:pt>
                <c:pt idx="36">
                  <c:v>8in1 Screwdriver With LED Light</c:v>
                </c:pt>
                <c:pt idx="37">
                  <c:v>9pcs Gas Mask, For Painting, Dust, Formaldehyde Grinding, Polishing</c:v>
                </c:pt>
                <c:pt idx="38">
                  <c:v>Agapeon Toothbrush Holder And Toothpaste Dispenser</c:v>
                </c:pt>
                <c:pt idx="39">
                  <c:v>Angle Measuring Tool Full Metal Multi Angle Measuring Tool</c:v>
                </c:pt>
                <c:pt idx="40">
                  <c:v>Anti-Skid Absorbent Insulation Coaster  For Home Office</c:v>
                </c:pt>
                <c:pt idx="41">
                  <c:v>Artificial Potted Flowers Room Decorative Flowers (2 Pieces)</c:v>
                </c:pt>
                <c:pt idx="42">
                  <c:v>Baby Early Education Shape And Color Cognitive Training Toys</c:v>
                </c:pt>
                <c:pt idx="43">
                  <c:v>Balloon Insert, Birthday Party Balloon Set, PU Leather</c:v>
                </c:pt>
                <c:pt idx="44">
                  <c:v>Bedroom Simple Floor Hanging Clothes Rack Single Pole Hat Rack - White</c:v>
                </c:pt>
                <c:pt idx="45">
                  <c:v>Black Simple Water Cup Wine Coaster Anti Slip Absorbent</c:v>
                </c:pt>
                <c:pt idx="46">
                  <c:v>Brush &amp; Paintbrush Cleaning Tool Pink</c:v>
                </c:pt>
                <c:pt idx="47">
                  <c:v>Car Phone Charging Stand</c:v>
                </c:pt>
                <c:pt idx="48">
                  <c:v>Cartoon Car Decoration Cute Individuality For Car Home Desk</c:v>
                </c:pt>
                <c:pt idx="49">
                  <c:v>Cartoon Embroidered Mini Towel Bear Cotton Wash Cloth Hand 4pcs</c:v>
                </c:pt>
                <c:pt idx="50">
                  <c:v>Christmas Elk Fence Yard Lawn Decorations Cute For Holidays</c:v>
                </c:pt>
                <c:pt idx="51">
                  <c:v>Christmas Fence Garden Decorations Outdoor For Holiday Home</c:v>
                </c:pt>
                <c:pt idx="52">
                  <c:v>Classic Black Cat Cotton Hemp Pillow Case For Home Car</c:v>
                </c:pt>
                <c:pt idx="53">
                  <c:v>Creative Owl Shape Keychain Black</c:v>
                </c:pt>
                <c:pt idx="54">
                  <c:v>Cushion Silicone Butt Cushion Summer Ice Cushion Honeycomb Gel Cushion</c:v>
                </c:pt>
                <c:pt idx="55">
                  <c:v>Cute Christmas Fence Garden Decorations For Holiday Home</c:v>
                </c:pt>
                <c:pt idx="56">
                  <c:v>Desk Foldable Fan Adjustable Fan Strong Wind 3 Gear Usb</c:v>
                </c:pt>
                <c:pt idx="57">
                  <c:v>DIY File Folder, Office Drawer File Holder, Pen Holder, Desktop Storage Rack</c:v>
                </c:pt>
                <c:pt idx="58">
                  <c:v>Electric LED UV Mosquito Killer Lamp, Outdoor/Indoor Fly Killer Trap Light -USB</c:v>
                </c:pt>
                <c:pt idx="59">
                  <c:v>Electronic Digital Display Vernier Caliper</c:v>
                </c:pt>
                <c:pt idx="60">
                  <c:v>Exfoliate And Exfoliate Face Towel - Black</c:v>
                </c:pt>
                <c:pt idx="61">
                  <c:v>Foldable Overbed Table/Desk</c:v>
                </c:pt>
                <c:pt idx="62">
                  <c:v>Genebre 115 In 1 Screwdriver Repairing Tool Set For IPhone Cellphone Hand Tool</c:v>
                </c:pt>
                <c:pt idx="63">
                  <c:v>Household Pineapple Peeler Peeler</c:v>
                </c:pt>
                <c:pt idx="64">
                  <c:v>Intelligent  LED Body Sensor Wireless Lighting Night Light USB</c:v>
                </c:pt>
                <c:pt idx="65">
                  <c:v>Konka Healty Electric Kettle, 24-hour Heat Preservation,1.5L,800W, White</c:v>
                </c:pt>
                <c:pt idx="66">
                  <c:v>Large Lazy Inflatable Sofa Chairs PVC Lounger Seat Bag</c:v>
                </c:pt>
                <c:pt idx="67">
                  <c:v>LASA 3 Tier Bamboo Shoe Bench Storage Shelf</c:v>
                </c:pt>
                <c:pt idx="68">
                  <c:v>LASA Aluminum Folding Truck Hand Cart - 68kg Max</c:v>
                </c:pt>
                <c:pt idx="69">
                  <c:v>LASA Digital Thermometer And Hydrometer</c:v>
                </c:pt>
                <c:pt idx="70">
                  <c:v>LASA FOLDING TABLE SERVING STAND</c:v>
                </c:pt>
                <c:pt idx="71">
                  <c:v>LASA Stainless Steel Double Wall Mount Soap Dispenser - 500ml</c:v>
                </c:pt>
                <c:pt idx="72">
                  <c:v>LED Eye Protection  Desk Lamp , Study, Reading, USB Fan - Double Pen Holder</c:v>
                </c:pt>
                <c:pt idx="73">
                  <c:v>LED Romantic Spaceship Starry Sky Projector,Children's Bedroom Night Light-Blue</c:v>
                </c:pt>
                <c:pt idx="74">
                  <c:v>LED Solar Street Light-fake Camera</c:v>
                </c:pt>
                <c:pt idx="75">
                  <c:v>LED Wall Digital Alarm Clock Study Home 12 / 24H Clock Calendar</c:v>
                </c:pt>
                <c:pt idx="76">
                  <c:v>Memory Foam Neck Pillow Cover, With Pillow Core - 50*30cm</c:v>
                </c:pt>
                <c:pt idx="77">
                  <c:v>Metal Decorative Hooks Key Hangers Entryway Wall Hooks Towel Hooks - Home</c:v>
                </c:pt>
                <c:pt idx="78">
                  <c:v>Metal Wall Clock Silver Dial Crystal Jewelry Round Home Decoration Wall Clock</c:v>
                </c:pt>
                <c:pt idx="79">
                  <c:v>Modern Sofa Throw Pillow Cover-45x45cm-Blue&amp;Red</c:v>
                </c:pt>
                <c:pt idx="80">
                  <c:v>Multifunction Laser Level With Adjustment Tripod</c:v>
                </c:pt>
                <c:pt idx="81">
                  <c:v>Multifunctional Hanging Storage Box Storage Bag (4 Layers)</c:v>
                </c:pt>
                <c:pt idx="82">
                  <c:v>MultiFunctional Storage Rack Multi-layer Bookshelf</c:v>
                </c:pt>
                <c:pt idx="83">
                  <c:v>Multi-purpose Rice Drainage Basket And Fruit And Vegetable Drainage Sieve</c:v>
                </c:pt>
                <c:pt idx="84">
                  <c:v>Mythco 120COB Solar Wall Ligt With Motion Sensor And Remote Control 3 Modes</c:v>
                </c:pt>
                <c:pt idx="85">
                  <c:v>Office Chair Lumbar Back Support Spine Posture Correction Pillow Car Cushion</c:v>
                </c:pt>
                <c:pt idx="86">
                  <c:v>Outdoor Portable Water Bottle With Medicine Box - 600ML - Black</c:v>
                </c:pt>
                <c:pt idx="87">
                  <c:v>Peacock  Throw Pillow Cushion Case For Home Car</c:v>
                </c:pt>
                <c:pt idx="88">
                  <c:v>Pen Grips For Kids Pen Grip Posture Correction Tool For Kids</c:v>
                </c:pt>
                <c:pt idx="89">
                  <c:v>Pilates Cloth Bag Waterproof Durable High Capacity Purple</c:v>
                </c:pt>
                <c:pt idx="90">
                  <c:v>Portable Home Small Air Humidifier 3-Speed Fan - Green</c:v>
                </c:pt>
                <c:pt idx="91">
                  <c:v>Portable Mini Cordless Car Vacuum Cleaner - Blue</c:v>
                </c:pt>
                <c:pt idx="92">
                  <c:v>Portable Soap Dispenser Kitchen Detergent Press Box Kitchen Tools</c:v>
                </c:pt>
                <c:pt idx="93">
                  <c:v>Portable Wardrobe Nonwoven With 3 Hanging Rods And 6 Storage Shelves</c:v>
                </c:pt>
                <c:pt idx="94">
                  <c:v>Portable Wine Table With Folding Round Table</c:v>
                </c:pt>
                <c:pt idx="95">
                  <c:v>Punch-free Great Load Bearing Bathroom Storage Rack Wall Shelf-White</c:v>
                </c:pt>
                <c:pt idx="96">
                  <c:v>Sewing Machine Needle Threader Stitch Insertion Tool Automatic Quick Sewing</c:v>
                </c:pt>
                <c:pt idx="97">
                  <c:v>Shower Cap Wide Elastic Band Cover Reusable Bashroom Cap</c:v>
                </c:pt>
                <c:pt idx="98">
                  <c:v>Shower Nozzle Cleaning Unclogging Needle Mini Crevice Small Hole Cleaning Brush</c:v>
                </c:pt>
                <c:pt idx="99">
                  <c:v>Simple Metal Dog Art Sculpture Decoration For Home Office</c:v>
                </c:pt>
                <c:pt idx="100">
                  <c:v>Thickening Multipurpose Non Stick Easy To Clean Heat Resistant Spoon Pad</c:v>
                </c:pt>
                <c:pt idx="101">
                  <c:v>VIC Wireless Vacuum Cleaner Dual Use For Home And Car 120W High Power Powerful</c:v>
                </c:pt>
                <c:pt idx="102">
                  <c:v>Wall Clock With Hidden Safe Box</c:v>
                </c:pt>
                <c:pt idx="103">
                  <c:v>Wall Mount Automatic Toothpaste Dispenser Toothbrush Holder Toothpaste Squeezer</c:v>
                </c:pt>
                <c:pt idx="104">
                  <c:v>Wall-mounted Sticker Punch-free Plug Fixer</c:v>
                </c:pt>
                <c:pt idx="105">
                  <c:v>Wall-Mounted Toothbrush Toothpaste Holder With Multiple Slots</c:v>
                </c:pt>
                <c:pt idx="106">
                  <c:v>Watercolour Gold Foil Textured Print Pillow Cover</c:v>
                </c:pt>
                <c:pt idx="107">
                  <c:v>Weighing Scale Digital Bathroom Body Fat Scale USB-Black</c:v>
                </c:pt>
                <c:pt idx="108">
                  <c:v>Wrought Iron Bathroom Shelf Wall Mounted Free Punch Toilet Rack</c:v>
                </c:pt>
                <c:pt idx="109">
                  <c:v>(blank)</c:v>
                </c:pt>
              </c:strCache>
            </c:strRef>
          </c:cat>
          <c:val>
            <c:numRef>
              <c:f>'PRODUCT CONT TO AVERAGE R'!$B$4:$B$114</c:f>
              <c:numCache>
                <c:formatCode>General</c:formatCode>
                <c:ptCount val="11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numCache>
            </c:numRef>
          </c:val>
          <c:extLst>
            <c:ext xmlns:c16="http://schemas.microsoft.com/office/drawing/2014/chart" uri="{C3380CC4-5D6E-409C-BE32-E72D297353CC}">
              <c16:uniqueId val="{00000000-9582-4FC9-BB5A-EFE11D67799C}"/>
            </c:ext>
          </c:extLst>
        </c:ser>
        <c:ser>
          <c:idx val="1"/>
          <c:order val="1"/>
          <c:tx>
            <c:strRef>
              <c:f>'PRODUCT CONT TO AVERAGE R'!$C$3</c:f>
              <c:strCache>
                <c:ptCount val="1"/>
                <c:pt idx="0">
                  <c:v>Average of Rating</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dPt>
            <c:idx val="62"/>
            <c:bubble3D val="0"/>
            <c:spPr>
              <a:solidFill>
                <a:schemeClr val="accent3">
                  <a:lumMod val="60000"/>
                </a:schemeClr>
              </a:solidFill>
              <a:ln w="19050">
                <a:solidFill>
                  <a:schemeClr val="lt1"/>
                </a:solidFill>
              </a:ln>
              <a:effectLst/>
            </c:spPr>
          </c:dPt>
          <c:dPt>
            <c:idx val="63"/>
            <c:bubble3D val="0"/>
            <c:spPr>
              <a:solidFill>
                <a:schemeClr val="accent4">
                  <a:lumMod val="60000"/>
                </a:schemeClr>
              </a:solidFill>
              <a:ln w="19050">
                <a:solidFill>
                  <a:schemeClr val="lt1"/>
                </a:solidFill>
              </a:ln>
              <a:effectLst/>
            </c:spPr>
          </c:dPt>
          <c:dPt>
            <c:idx val="64"/>
            <c:bubble3D val="0"/>
            <c:spPr>
              <a:solidFill>
                <a:schemeClr val="accent5">
                  <a:lumMod val="60000"/>
                </a:schemeClr>
              </a:solidFill>
              <a:ln w="19050">
                <a:solidFill>
                  <a:schemeClr val="lt1"/>
                </a:solidFill>
              </a:ln>
              <a:effectLst/>
            </c:spPr>
          </c:dPt>
          <c:dPt>
            <c:idx val="65"/>
            <c:bubble3D val="0"/>
            <c:spPr>
              <a:solidFill>
                <a:schemeClr val="accent6">
                  <a:lumMod val="60000"/>
                </a:schemeClr>
              </a:solidFill>
              <a:ln w="19050">
                <a:solidFill>
                  <a:schemeClr val="lt1"/>
                </a:solidFill>
              </a:ln>
              <a:effectLst/>
            </c:spPr>
          </c:dPt>
          <c:dPt>
            <c:idx val="66"/>
            <c:bubble3D val="0"/>
            <c:spPr>
              <a:solidFill>
                <a:schemeClr val="accent1">
                  <a:lumMod val="80000"/>
                  <a:lumOff val="20000"/>
                </a:schemeClr>
              </a:solidFill>
              <a:ln w="19050">
                <a:solidFill>
                  <a:schemeClr val="lt1"/>
                </a:solidFill>
              </a:ln>
              <a:effectLst/>
            </c:spPr>
          </c:dPt>
          <c:dPt>
            <c:idx val="67"/>
            <c:bubble3D val="0"/>
            <c:spPr>
              <a:solidFill>
                <a:schemeClr val="accent2">
                  <a:lumMod val="80000"/>
                  <a:lumOff val="20000"/>
                </a:schemeClr>
              </a:solidFill>
              <a:ln w="19050">
                <a:solidFill>
                  <a:schemeClr val="lt1"/>
                </a:solidFill>
              </a:ln>
              <a:effectLst/>
            </c:spPr>
          </c:dPt>
          <c:dPt>
            <c:idx val="68"/>
            <c:bubble3D val="0"/>
            <c:spPr>
              <a:solidFill>
                <a:schemeClr val="accent3">
                  <a:lumMod val="80000"/>
                  <a:lumOff val="20000"/>
                </a:schemeClr>
              </a:solidFill>
              <a:ln w="19050">
                <a:solidFill>
                  <a:schemeClr val="lt1"/>
                </a:solidFill>
              </a:ln>
              <a:effectLst/>
            </c:spPr>
          </c:dPt>
          <c:dPt>
            <c:idx val="69"/>
            <c:bubble3D val="0"/>
            <c:spPr>
              <a:solidFill>
                <a:schemeClr val="accent4">
                  <a:lumMod val="80000"/>
                  <a:lumOff val="20000"/>
                </a:schemeClr>
              </a:solidFill>
              <a:ln w="19050">
                <a:solidFill>
                  <a:schemeClr val="lt1"/>
                </a:solidFill>
              </a:ln>
              <a:effectLst/>
            </c:spPr>
          </c:dPt>
          <c:dPt>
            <c:idx val="70"/>
            <c:bubble3D val="0"/>
            <c:spPr>
              <a:solidFill>
                <a:schemeClr val="accent5">
                  <a:lumMod val="80000"/>
                  <a:lumOff val="20000"/>
                </a:schemeClr>
              </a:solidFill>
              <a:ln w="19050">
                <a:solidFill>
                  <a:schemeClr val="lt1"/>
                </a:solidFill>
              </a:ln>
              <a:effectLst/>
            </c:spPr>
          </c:dPt>
          <c:dPt>
            <c:idx val="71"/>
            <c:bubble3D val="0"/>
            <c:spPr>
              <a:solidFill>
                <a:schemeClr val="accent6">
                  <a:lumMod val="80000"/>
                  <a:lumOff val="20000"/>
                </a:schemeClr>
              </a:solidFill>
              <a:ln w="19050">
                <a:solidFill>
                  <a:schemeClr val="lt1"/>
                </a:solidFill>
              </a:ln>
              <a:effectLst/>
            </c:spPr>
          </c:dPt>
          <c:dPt>
            <c:idx val="72"/>
            <c:bubble3D val="0"/>
            <c:spPr>
              <a:solidFill>
                <a:schemeClr val="accent1">
                  <a:lumMod val="80000"/>
                </a:schemeClr>
              </a:solidFill>
              <a:ln w="19050">
                <a:solidFill>
                  <a:schemeClr val="lt1"/>
                </a:solidFill>
              </a:ln>
              <a:effectLst/>
            </c:spPr>
          </c:dPt>
          <c:dPt>
            <c:idx val="73"/>
            <c:bubble3D val="0"/>
            <c:spPr>
              <a:solidFill>
                <a:schemeClr val="accent2">
                  <a:lumMod val="80000"/>
                </a:schemeClr>
              </a:solidFill>
              <a:ln w="19050">
                <a:solidFill>
                  <a:schemeClr val="lt1"/>
                </a:solidFill>
              </a:ln>
              <a:effectLst/>
            </c:spPr>
          </c:dPt>
          <c:dPt>
            <c:idx val="74"/>
            <c:bubble3D val="0"/>
            <c:spPr>
              <a:solidFill>
                <a:schemeClr val="accent3">
                  <a:lumMod val="80000"/>
                </a:schemeClr>
              </a:solidFill>
              <a:ln w="19050">
                <a:solidFill>
                  <a:schemeClr val="lt1"/>
                </a:solidFill>
              </a:ln>
              <a:effectLst/>
            </c:spPr>
          </c:dPt>
          <c:dPt>
            <c:idx val="75"/>
            <c:bubble3D val="0"/>
            <c:spPr>
              <a:solidFill>
                <a:schemeClr val="accent4">
                  <a:lumMod val="80000"/>
                </a:schemeClr>
              </a:solidFill>
              <a:ln w="19050">
                <a:solidFill>
                  <a:schemeClr val="lt1"/>
                </a:solidFill>
              </a:ln>
              <a:effectLst/>
            </c:spPr>
          </c:dPt>
          <c:dPt>
            <c:idx val="76"/>
            <c:bubble3D val="0"/>
            <c:spPr>
              <a:solidFill>
                <a:schemeClr val="accent5">
                  <a:lumMod val="80000"/>
                </a:schemeClr>
              </a:solidFill>
              <a:ln w="19050">
                <a:solidFill>
                  <a:schemeClr val="lt1"/>
                </a:solidFill>
              </a:ln>
              <a:effectLst/>
            </c:spPr>
          </c:dPt>
          <c:dPt>
            <c:idx val="77"/>
            <c:bubble3D val="0"/>
            <c:spPr>
              <a:solidFill>
                <a:schemeClr val="accent6">
                  <a:lumMod val="80000"/>
                </a:schemeClr>
              </a:solidFill>
              <a:ln w="19050">
                <a:solidFill>
                  <a:schemeClr val="lt1"/>
                </a:solidFill>
              </a:ln>
              <a:effectLst/>
            </c:spPr>
          </c:dPt>
          <c:dPt>
            <c:idx val="78"/>
            <c:bubble3D val="0"/>
            <c:spPr>
              <a:solidFill>
                <a:schemeClr val="accent1">
                  <a:lumMod val="60000"/>
                  <a:lumOff val="40000"/>
                </a:schemeClr>
              </a:solidFill>
              <a:ln w="19050">
                <a:solidFill>
                  <a:schemeClr val="lt1"/>
                </a:solidFill>
              </a:ln>
              <a:effectLst/>
            </c:spPr>
          </c:dPt>
          <c:dPt>
            <c:idx val="79"/>
            <c:bubble3D val="0"/>
            <c:spPr>
              <a:solidFill>
                <a:schemeClr val="accent2">
                  <a:lumMod val="60000"/>
                  <a:lumOff val="40000"/>
                </a:schemeClr>
              </a:solidFill>
              <a:ln w="19050">
                <a:solidFill>
                  <a:schemeClr val="lt1"/>
                </a:solidFill>
              </a:ln>
              <a:effectLst/>
            </c:spPr>
          </c:dPt>
          <c:dPt>
            <c:idx val="80"/>
            <c:bubble3D val="0"/>
            <c:spPr>
              <a:solidFill>
                <a:schemeClr val="accent3">
                  <a:lumMod val="60000"/>
                  <a:lumOff val="40000"/>
                </a:schemeClr>
              </a:solidFill>
              <a:ln w="19050">
                <a:solidFill>
                  <a:schemeClr val="lt1"/>
                </a:solidFill>
              </a:ln>
              <a:effectLst/>
            </c:spPr>
          </c:dPt>
          <c:dPt>
            <c:idx val="81"/>
            <c:bubble3D val="0"/>
            <c:spPr>
              <a:solidFill>
                <a:schemeClr val="accent4">
                  <a:lumMod val="60000"/>
                  <a:lumOff val="40000"/>
                </a:schemeClr>
              </a:solidFill>
              <a:ln w="19050">
                <a:solidFill>
                  <a:schemeClr val="lt1"/>
                </a:solidFill>
              </a:ln>
              <a:effectLst/>
            </c:spPr>
          </c:dPt>
          <c:dPt>
            <c:idx val="82"/>
            <c:bubble3D val="0"/>
            <c:spPr>
              <a:solidFill>
                <a:schemeClr val="accent5">
                  <a:lumMod val="60000"/>
                  <a:lumOff val="40000"/>
                </a:schemeClr>
              </a:solidFill>
              <a:ln w="19050">
                <a:solidFill>
                  <a:schemeClr val="lt1"/>
                </a:solidFill>
              </a:ln>
              <a:effectLst/>
            </c:spPr>
          </c:dPt>
          <c:dPt>
            <c:idx val="83"/>
            <c:bubble3D val="0"/>
            <c:spPr>
              <a:solidFill>
                <a:schemeClr val="accent6">
                  <a:lumMod val="60000"/>
                  <a:lumOff val="40000"/>
                </a:schemeClr>
              </a:solidFill>
              <a:ln w="19050">
                <a:solidFill>
                  <a:schemeClr val="lt1"/>
                </a:solidFill>
              </a:ln>
              <a:effectLst/>
            </c:spPr>
          </c:dPt>
          <c:dPt>
            <c:idx val="84"/>
            <c:bubble3D val="0"/>
            <c:spPr>
              <a:solidFill>
                <a:schemeClr val="accent1">
                  <a:lumMod val="50000"/>
                </a:schemeClr>
              </a:solidFill>
              <a:ln w="19050">
                <a:solidFill>
                  <a:schemeClr val="lt1"/>
                </a:solidFill>
              </a:ln>
              <a:effectLst/>
            </c:spPr>
          </c:dPt>
          <c:dPt>
            <c:idx val="85"/>
            <c:bubble3D val="0"/>
            <c:spPr>
              <a:solidFill>
                <a:schemeClr val="accent2">
                  <a:lumMod val="50000"/>
                </a:schemeClr>
              </a:solidFill>
              <a:ln w="19050">
                <a:solidFill>
                  <a:schemeClr val="lt1"/>
                </a:solidFill>
              </a:ln>
              <a:effectLst/>
            </c:spPr>
          </c:dPt>
          <c:dPt>
            <c:idx val="86"/>
            <c:bubble3D val="0"/>
            <c:spPr>
              <a:solidFill>
                <a:schemeClr val="accent3">
                  <a:lumMod val="50000"/>
                </a:schemeClr>
              </a:solidFill>
              <a:ln w="19050">
                <a:solidFill>
                  <a:schemeClr val="lt1"/>
                </a:solidFill>
              </a:ln>
              <a:effectLst/>
            </c:spPr>
          </c:dPt>
          <c:dPt>
            <c:idx val="87"/>
            <c:bubble3D val="0"/>
            <c:spPr>
              <a:solidFill>
                <a:schemeClr val="accent4">
                  <a:lumMod val="50000"/>
                </a:schemeClr>
              </a:solidFill>
              <a:ln w="19050">
                <a:solidFill>
                  <a:schemeClr val="lt1"/>
                </a:solidFill>
              </a:ln>
              <a:effectLst/>
            </c:spPr>
          </c:dPt>
          <c:dPt>
            <c:idx val="88"/>
            <c:bubble3D val="0"/>
            <c:spPr>
              <a:solidFill>
                <a:schemeClr val="accent5">
                  <a:lumMod val="50000"/>
                </a:schemeClr>
              </a:solidFill>
              <a:ln w="19050">
                <a:solidFill>
                  <a:schemeClr val="lt1"/>
                </a:solidFill>
              </a:ln>
              <a:effectLst/>
            </c:spPr>
          </c:dPt>
          <c:dPt>
            <c:idx val="89"/>
            <c:bubble3D val="0"/>
            <c:spPr>
              <a:solidFill>
                <a:schemeClr val="accent6">
                  <a:lumMod val="50000"/>
                </a:schemeClr>
              </a:solidFill>
              <a:ln w="19050">
                <a:solidFill>
                  <a:schemeClr val="lt1"/>
                </a:solidFill>
              </a:ln>
              <a:effectLst/>
            </c:spPr>
          </c:dPt>
          <c:dPt>
            <c:idx val="90"/>
            <c:bubble3D val="0"/>
            <c:spPr>
              <a:solidFill>
                <a:schemeClr val="accent1">
                  <a:lumMod val="70000"/>
                  <a:lumOff val="30000"/>
                </a:schemeClr>
              </a:solidFill>
              <a:ln w="19050">
                <a:solidFill>
                  <a:schemeClr val="lt1"/>
                </a:solidFill>
              </a:ln>
              <a:effectLst/>
            </c:spPr>
          </c:dPt>
          <c:dPt>
            <c:idx val="91"/>
            <c:bubble3D val="0"/>
            <c:spPr>
              <a:solidFill>
                <a:schemeClr val="accent2">
                  <a:lumMod val="70000"/>
                  <a:lumOff val="30000"/>
                </a:schemeClr>
              </a:solidFill>
              <a:ln w="19050">
                <a:solidFill>
                  <a:schemeClr val="lt1"/>
                </a:solidFill>
              </a:ln>
              <a:effectLst/>
            </c:spPr>
          </c:dPt>
          <c:dPt>
            <c:idx val="92"/>
            <c:bubble3D val="0"/>
            <c:spPr>
              <a:solidFill>
                <a:schemeClr val="accent3">
                  <a:lumMod val="70000"/>
                  <a:lumOff val="30000"/>
                </a:schemeClr>
              </a:solidFill>
              <a:ln w="19050">
                <a:solidFill>
                  <a:schemeClr val="lt1"/>
                </a:solidFill>
              </a:ln>
              <a:effectLst/>
            </c:spPr>
          </c:dPt>
          <c:dPt>
            <c:idx val="93"/>
            <c:bubble3D val="0"/>
            <c:spPr>
              <a:solidFill>
                <a:schemeClr val="accent4">
                  <a:lumMod val="70000"/>
                  <a:lumOff val="30000"/>
                </a:schemeClr>
              </a:solidFill>
              <a:ln w="19050">
                <a:solidFill>
                  <a:schemeClr val="lt1"/>
                </a:solidFill>
              </a:ln>
              <a:effectLst/>
            </c:spPr>
          </c:dPt>
          <c:dPt>
            <c:idx val="94"/>
            <c:bubble3D val="0"/>
            <c:spPr>
              <a:solidFill>
                <a:schemeClr val="accent5">
                  <a:lumMod val="70000"/>
                  <a:lumOff val="30000"/>
                </a:schemeClr>
              </a:solidFill>
              <a:ln w="19050">
                <a:solidFill>
                  <a:schemeClr val="lt1"/>
                </a:solidFill>
              </a:ln>
              <a:effectLst/>
            </c:spPr>
          </c:dPt>
          <c:dPt>
            <c:idx val="95"/>
            <c:bubble3D val="0"/>
            <c:spPr>
              <a:solidFill>
                <a:schemeClr val="accent6">
                  <a:lumMod val="70000"/>
                  <a:lumOff val="30000"/>
                </a:schemeClr>
              </a:solidFill>
              <a:ln w="19050">
                <a:solidFill>
                  <a:schemeClr val="lt1"/>
                </a:solidFill>
              </a:ln>
              <a:effectLst/>
            </c:spPr>
          </c:dPt>
          <c:dPt>
            <c:idx val="96"/>
            <c:bubble3D val="0"/>
            <c:spPr>
              <a:solidFill>
                <a:schemeClr val="accent1">
                  <a:lumMod val="70000"/>
                </a:schemeClr>
              </a:solidFill>
              <a:ln w="19050">
                <a:solidFill>
                  <a:schemeClr val="lt1"/>
                </a:solidFill>
              </a:ln>
              <a:effectLst/>
            </c:spPr>
          </c:dPt>
          <c:dPt>
            <c:idx val="97"/>
            <c:bubble3D val="0"/>
            <c:spPr>
              <a:solidFill>
                <a:schemeClr val="accent2">
                  <a:lumMod val="70000"/>
                </a:schemeClr>
              </a:solidFill>
              <a:ln w="19050">
                <a:solidFill>
                  <a:schemeClr val="lt1"/>
                </a:solidFill>
              </a:ln>
              <a:effectLst/>
            </c:spPr>
          </c:dPt>
          <c:dPt>
            <c:idx val="98"/>
            <c:bubble3D val="0"/>
            <c:spPr>
              <a:solidFill>
                <a:schemeClr val="accent3">
                  <a:lumMod val="70000"/>
                </a:schemeClr>
              </a:solidFill>
              <a:ln w="19050">
                <a:solidFill>
                  <a:schemeClr val="lt1"/>
                </a:solidFill>
              </a:ln>
              <a:effectLst/>
            </c:spPr>
          </c:dPt>
          <c:dPt>
            <c:idx val="99"/>
            <c:bubble3D val="0"/>
            <c:spPr>
              <a:solidFill>
                <a:schemeClr val="accent4">
                  <a:lumMod val="70000"/>
                </a:schemeClr>
              </a:solidFill>
              <a:ln w="19050">
                <a:solidFill>
                  <a:schemeClr val="lt1"/>
                </a:solidFill>
              </a:ln>
              <a:effectLst/>
            </c:spPr>
          </c:dPt>
          <c:dPt>
            <c:idx val="100"/>
            <c:bubble3D val="0"/>
            <c:spPr>
              <a:solidFill>
                <a:schemeClr val="accent5">
                  <a:lumMod val="70000"/>
                </a:schemeClr>
              </a:solidFill>
              <a:ln w="19050">
                <a:solidFill>
                  <a:schemeClr val="lt1"/>
                </a:solidFill>
              </a:ln>
              <a:effectLst/>
            </c:spPr>
          </c:dPt>
          <c:dPt>
            <c:idx val="101"/>
            <c:bubble3D val="0"/>
            <c:spPr>
              <a:solidFill>
                <a:schemeClr val="accent6">
                  <a:lumMod val="70000"/>
                </a:schemeClr>
              </a:solidFill>
              <a:ln w="19050">
                <a:solidFill>
                  <a:schemeClr val="lt1"/>
                </a:solidFill>
              </a:ln>
              <a:effectLst/>
            </c:spPr>
          </c:dPt>
          <c:dPt>
            <c:idx val="102"/>
            <c:bubble3D val="0"/>
            <c:spPr>
              <a:solidFill>
                <a:schemeClr val="accent1">
                  <a:lumMod val="50000"/>
                  <a:lumOff val="50000"/>
                </a:schemeClr>
              </a:solidFill>
              <a:ln w="19050">
                <a:solidFill>
                  <a:schemeClr val="lt1"/>
                </a:solidFill>
              </a:ln>
              <a:effectLst/>
            </c:spPr>
          </c:dPt>
          <c:dPt>
            <c:idx val="103"/>
            <c:bubble3D val="0"/>
            <c:spPr>
              <a:solidFill>
                <a:schemeClr val="accent2">
                  <a:lumMod val="50000"/>
                  <a:lumOff val="50000"/>
                </a:schemeClr>
              </a:solidFill>
              <a:ln w="19050">
                <a:solidFill>
                  <a:schemeClr val="lt1"/>
                </a:solidFill>
              </a:ln>
              <a:effectLst/>
            </c:spPr>
          </c:dPt>
          <c:dPt>
            <c:idx val="104"/>
            <c:bubble3D val="0"/>
            <c:spPr>
              <a:solidFill>
                <a:schemeClr val="accent3">
                  <a:lumMod val="50000"/>
                  <a:lumOff val="50000"/>
                </a:schemeClr>
              </a:solidFill>
              <a:ln w="19050">
                <a:solidFill>
                  <a:schemeClr val="lt1"/>
                </a:solidFill>
              </a:ln>
              <a:effectLst/>
            </c:spPr>
          </c:dPt>
          <c:dPt>
            <c:idx val="105"/>
            <c:bubble3D val="0"/>
            <c:spPr>
              <a:solidFill>
                <a:schemeClr val="accent4">
                  <a:lumMod val="50000"/>
                  <a:lumOff val="50000"/>
                </a:schemeClr>
              </a:solidFill>
              <a:ln w="19050">
                <a:solidFill>
                  <a:schemeClr val="lt1"/>
                </a:solidFill>
              </a:ln>
              <a:effectLst/>
            </c:spPr>
          </c:dPt>
          <c:dPt>
            <c:idx val="106"/>
            <c:bubble3D val="0"/>
            <c:spPr>
              <a:solidFill>
                <a:schemeClr val="accent5">
                  <a:lumMod val="50000"/>
                  <a:lumOff val="50000"/>
                </a:schemeClr>
              </a:solidFill>
              <a:ln w="19050">
                <a:solidFill>
                  <a:schemeClr val="lt1"/>
                </a:solidFill>
              </a:ln>
              <a:effectLst/>
            </c:spPr>
          </c:dPt>
          <c:dPt>
            <c:idx val="107"/>
            <c:bubble3D val="0"/>
            <c:spPr>
              <a:solidFill>
                <a:schemeClr val="accent6">
                  <a:lumMod val="50000"/>
                  <a:lumOff val="50000"/>
                </a:schemeClr>
              </a:solidFill>
              <a:ln w="19050">
                <a:solidFill>
                  <a:schemeClr val="lt1"/>
                </a:solidFill>
              </a:ln>
              <a:effectLst/>
            </c:spPr>
          </c:dPt>
          <c:dPt>
            <c:idx val="108"/>
            <c:bubble3D val="0"/>
            <c:spPr>
              <a:solidFill>
                <a:schemeClr val="accent1"/>
              </a:solidFill>
              <a:ln w="19050">
                <a:solidFill>
                  <a:schemeClr val="lt1"/>
                </a:solidFill>
              </a:ln>
              <a:effectLst/>
            </c:spPr>
          </c:dPt>
          <c:dPt>
            <c:idx val="109"/>
            <c:bubble3D val="0"/>
            <c:spPr>
              <a:solidFill>
                <a:schemeClr val="accent2"/>
              </a:solidFill>
              <a:ln w="19050">
                <a:solidFill>
                  <a:schemeClr val="lt1"/>
                </a:solidFill>
              </a:ln>
              <a:effectLst/>
            </c:spPr>
          </c:dPt>
          <c:cat>
            <c:strRef>
              <c:f>'PRODUCT CONT TO AVERAGE R'!$A$4:$A$114</c:f>
              <c:strCache>
                <c:ptCount val="110"/>
                <c:pt idx="0">
                  <c:v>1/2/3 Seater Elastic Sofa Cover,Living Room/Home Decor Chair Cover-Grey</c:v>
                </c:pt>
                <c:pt idx="1">
                  <c:v>100 Pcs Crochet Hook Tool Set Knitting Hook Set With Box</c:v>
                </c:pt>
                <c:pt idx="2">
                  <c:v>115  Piece Set Of Multifunctional Precision Screwdrivers</c:v>
                </c:pt>
                <c:pt idx="3">
                  <c:v>12 Litre Black Insulated Lunch Box</c:v>
                </c:pt>
                <c:pt idx="4">
                  <c:v>12 Litre Insulated Lunch Box Grey</c:v>
                </c:pt>
                <c:pt idx="5">
                  <c:v>120W Cordless Vacuum Cleaners Handheld Electric Vacuum Cleaner</c:v>
                </c:pt>
                <c:pt idx="6">
                  <c:v>12V 19500rpm Handheld Electric Angle Grinder Tool - UK - Yellow/Black</c:v>
                </c:pt>
                <c:pt idx="7">
                  <c:v>13 In 1 Home Repair Tools Box Kit Set</c:v>
                </c:pt>
                <c:pt idx="8">
                  <c:v>137 Pieces Cake Decorating Tool Set Baking Supplies</c:v>
                </c:pt>
                <c:pt idx="9">
                  <c:v>1PC Refrigerator Food Seal Pocket Fridge Bags</c:v>
                </c:pt>
                <c:pt idx="10">
                  <c:v>2 Pairs Cowhide Split Leather Work Gloves.32â„‰ Or Above Welding Gloves</c:v>
                </c:pt>
                <c:pt idx="11">
                  <c:v>220V 60W Electric Soldering Iron Kits With Tools, Tips, And Multimeter</c:v>
                </c:pt>
                <c:pt idx="12">
                  <c:v>24 Grid Wall-mounted Sundries Organiser Fabric Closet Bag Storage Rack</c:v>
                </c:pt>
                <c:pt idx="13">
                  <c:v>2PCS Ice Silk Square Cushion Cover Pillowcases - 65x65cm</c:v>
                </c:pt>
                <c:pt idx="14">
                  <c:v>2pcs Solar Street Light Flood Light Outdoor</c:v>
                </c:pt>
                <c:pt idx="15">
                  <c:v>2PCS/LOT Solar LED Outdoor Intelligent Light Controlled Wall Lamp</c:v>
                </c:pt>
                <c:pt idx="16">
                  <c:v>32PCS Portable Cordless Drill Set With Cyclic Battery Drive -26 Variable Speed</c:v>
                </c:pt>
                <c:pt idx="17">
                  <c:v>380ML USB Rechargeable Portable Small Blenders And Juicers</c:v>
                </c:pt>
                <c:pt idx="18">
                  <c:v>3D Waterproof EVA Plastic Shower Curtain 1.8*2Mtrs</c:v>
                </c:pt>
                <c:pt idx="19">
                  <c:v>3PCS Rotary Scraper Thermomix For Kitchen</c:v>
                </c:pt>
                <c:pt idx="20">
                  <c:v>3PCS Single Head Knitting Crochet Sweater Needle Set</c:v>
                </c:pt>
                <c:pt idx="21">
                  <c:v>4 Piece Coloured Stainless Steel Kitchenware Set</c:v>
                </c:pt>
                <c:pt idx="22">
                  <c:v>40cm Gold DIY Acrylic Wall Sticker Clock</c:v>
                </c:pt>
                <c:pt idx="23">
                  <c:v>4M Float Switch Water Level Controller -Water Tank</c:v>
                </c:pt>
                <c:pt idx="24">
                  <c:v>4pcs Bathroom/Kitchen Towel Rack,Roll Paper Holder,Towel Bars,Hook</c:v>
                </c:pt>
                <c:pt idx="25">
                  <c:v>5 Pieces/set Of Stainless Steel Induction Cooker Pots</c:v>
                </c:pt>
                <c:pt idx="26">
                  <c:v>52 Pieces Cake Decorating Tool Set Gift Kit Baking Supplies</c:v>
                </c:pt>
                <c:pt idx="27">
                  <c:v>53 Pieces/Set Yarn Knitting Crochet Hooks With Bag - Pansies</c:v>
                </c:pt>
                <c:pt idx="28">
                  <c:v>53Pcs/Set Yarn Knitting Crochet Hooks With Bag - Fortune Cat</c:v>
                </c:pt>
                <c:pt idx="29">
                  <c:v>5m Waterproof Spherical LED String Lights Outdoor Ball Chain Lights Party Lighting Decoration Adjustable</c:v>
                </c:pt>
                <c:pt idx="30">
                  <c:v>5-PCS Stainless Steel Cooking Pot Set With Steamed Slices</c:v>
                </c:pt>
                <c:pt idx="31">
                  <c:v>6 In 1 Bottle Can Opener Multifunctional Easy Opener</c:v>
                </c:pt>
                <c:pt idx="32">
                  <c:v>6 Layers Steel Pipe Assembling Dustproof Storage Shoe Cabinet</c:v>
                </c:pt>
                <c:pt idx="33">
                  <c:v>60W Hot Melt Glue Sprayer - Efficient And Stable Glue Dispensing</c:v>
                </c:pt>
                <c:pt idx="34">
                  <c:v>7PCS Silicone Thumb Knife Finger Protector Vegetable Harvesting Knife</c:v>
                </c:pt>
                <c:pt idx="35">
                  <c:v>7-piece Set Of Storage Bags, Travel Storage Bags, Shoe Bags</c:v>
                </c:pt>
                <c:pt idx="36">
                  <c:v>8in1 Screwdriver With LED Light</c:v>
                </c:pt>
                <c:pt idx="37">
                  <c:v>9pcs Gas Mask, For Painting, Dust, Formaldehyde Grinding, Polishing</c:v>
                </c:pt>
                <c:pt idx="38">
                  <c:v>Agapeon Toothbrush Holder And Toothpaste Dispenser</c:v>
                </c:pt>
                <c:pt idx="39">
                  <c:v>Angle Measuring Tool Full Metal Multi Angle Measuring Tool</c:v>
                </c:pt>
                <c:pt idx="40">
                  <c:v>Anti-Skid Absorbent Insulation Coaster  For Home Office</c:v>
                </c:pt>
                <c:pt idx="41">
                  <c:v>Artificial Potted Flowers Room Decorative Flowers (2 Pieces)</c:v>
                </c:pt>
                <c:pt idx="42">
                  <c:v>Baby Early Education Shape And Color Cognitive Training Toys</c:v>
                </c:pt>
                <c:pt idx="43">
                  <c:v>Balloon Insert, Birthday Party Balloon Set, PU Leather</c:v>
                </c:pt>
                <c:pt idx="44">
                  <c:v>Bedroom Simple Floor Hanging Clothes Rack Single Pole Hat Rack - White</c:v>
                </c:pt>
                <c:pt idx="45">
                  <c:v>Black Simple Water Cup Wine Coaster Anti Slip Absorbent</c:v>
                </c:pt>
                <c:pt idx="46">
                  <c:v>Brush &amp; Paintbrush Cleaning Tool Pink</c:v>
                </c:pt>
                <c:pt idx="47">
                  <c:v>Car Phone Charging Stand</c:v>
                </c:pt>
                <c:pt idx="48">
                  <c:v>Cartoon Car Decoration Cute Individuality For Car Home Desk</c:v>
                </c:pt>
                <c:pt idx="49">
                  <c:v>Cartoon Embroidered Mini Towel Bear Cotton Wash Cloth Hand 4pcs</c:v>
                </c:pt>
                <c:pt idx="50">
                  <c:v>Christmas Elk Fence Yard Lawn Decorations Cute For Holidays</c:v>
                </c:pt>
                <c:pt idx="51">
                  <c:v>Christmas Fence Garden Decorations Outdoor For Holiday Home</c:v>
                </c:pt>
                <c:pt idx="52">
                  <c:v>Classic Black Cat Cotton Hemp Pillow Case For Home Car</c:v>
                </c:pt>
                <c:pt idx="53">
                  <c:v>Creative Owl Shape Keychain Black</c:v>
                </c:pt>
                <c:pt idx="54">
                  <c:v>Cushion Silicone Butt Cushion Summer Ice Cushion Honeycomb Gel Cushion</c:v>
                </c:pt>
                <c:pt idx="55">
                  <c:v>Cute Christmas Fence Garden Decorations For Holiday Home</c:v>
                </c:pt>
                <c:pt idx="56">
                  <c:v>Desk Foldable Fan Adjustable Fan Strong Wind 3 Gear Usb</c:v>
                </c:pt>
                <c:pt idx="57">
                  <c:v>DIY File Folder, Office Drawer File Holder, Pen Holder, Desktop Storage Rack</c:v>
                </c:pt>
                <c:pt idx="58">
                  <c:v>Electric LED UV Mosquito Killer Lamp, Outdoor/Indoor Fly Killer Trap Light -USB</c:v>
                </c:pt>
                <c:pt idx="59">
                  <c:v>Electronic Digital Display Vernier Caliper</c:v>
                </c:pt>
                <c:pt idx="60">
                  <c:v>Exfoliate And Exfoliate Face Towel - Black</c:v>
                </c:pt>
                <c:pt idx="61">
                  <c:v>Foldable Overbed Table/Desk</c:v>
                </c:pt>
                <c:pt idx="62">
                  <c:v>Genebre 115 In 1 Screwdriver Repairing Tool Set For IPhone Cellphone Hand Tool</c:v>
                </c:pt>
                <c:pt idx="63">
                  <c:v>Household Pineapple Peeler Peeler</c:v>
                </c:pt>
                <c:pt idx="64">
                  <c:v>Intelligent  LED Body Sensor Wireless Lighting Night Light USB</c:v>
                </c:pt>
                <c:pt idx="65">
                  <c:v>Konka Healty Electric Kettle, 24-hour Heat Preservation,1.5L,800W, White</c:v>
                </c:pt>
                <c:pt idx="66">
                  <c:v>Large Lazy Inflatable Sofa Chairs PVC Lounger Seat Bag</c:v>
                </c:pt>
                <c:pt idx="67">
                  <c:v>LASA 3 Tier Bamboo Shoe Bench Storage Shelf</c:v>
                </c:pt>
                <c:pt idx="68">
                  <c:v>LASA Aluminum Folding Truck Hand Cart - 68kg Max</c:v>
                </c:pt>
                <c:pt idx="69">
                  <c:v>LASA Digital Thermometer And Hydrometer</c:v>
                </c:pt>
                <c:pt idx="70">
                  <c:v>LASA FOLDING TABLE SERVING STAND</c:v>
                </c:pt>
                <c:pt idx="71">
                  <c:v>LASA Stainless Steel Double Wall Mount Soap Dispenser - 500ml</c:v>
                </c:pt>
                <c:pt idx="72">
                  <c:v>LED Eye Protection  Desk Lamp , Study, Reading, USB Fan - Double Pen Holder</c:v>
                </c:pt>
                <c:pt idx="73">
                  <c:v>LED Romantic Spaceship Starry Sky Projector,Children's Bedroom Night Light-Blue</c:v>
                </c:pt>
                <c:pt idx="74">
                  <c:v>LED Solar Street Light-fake Camera</c:v>
                </c:pt>
                <c:pt idx="75">
                  <c:v>LED Wall Digital Alarm Clock Study Home 12 / 24H Clock Calendar</c:v>
                </c:pt>
                <c:pt idx="76">
                  <c:v>Memory Foam Neck Pillow Cover, With Pillow Core - 50*30cm</c:v>
                </c:pt>
                <c:pt idx="77">
                  <c:v>Metal Decorative Hooks Key Hangers Entryway Wall Hooks Towel Hooks - Home</c:v>
                </c:pt>
                <c:pt idx="78">
                  <c:v>Metal Wall Clock Silver Dial Crystal Jewelry Round Home Decoration Wall Clock</c:v>
                </c:pt>
                <c:pt idx="79">
                  <c:v>Modern Sofa Throw Pillow Cover-45x45cm-Blue&amp;Red</c:v>
                </c:pt>
                <c:pt idx="80">
                  <c:v>Multifunction Laser Level With Adjustment Tripod</c:v>
                </c:pt>
                <c:pt idx="81">
                  <c:v>Multifunctional Hanging Storage Box Storage Bag (4 Layers)</c:v>
                </c:pt>
                <c:pt idx="82">
                  <c:v>MultiFunctional Storage Rack Multi-layer Bookshelf</c:v>
                </c:pt>
                <c:pt idx="83">
                  <c:v>Multi-purpose Rice Drainage Basket And Fruit And Vegetable Drainage Sieve</c:v>
                </c:pt>
                <c:pt idx="84">
                  <c:v>Mythco 120COB Solar Wall Ligt With Motion Sensor And Remote Control 3 Modes</c:v>
                </c:pt>
                <c:pt idx="85">
                  <c:v>Office Chair Lumbar Back Support Spine Posture Correction Pillow Car Cushion</c:v>
                </c:pt>
                <c:pt idx="86">
                  <c:v>Outdoor Portable Water Bottle With Medicine Box - 600ML - Black</c:v>
                </c:pt>
                <c:pt idx="87">
                  <c:v>Peacock  Throw Pillow Cushion Case For Home Car</c:v>
                </c:pt>
                <c:pt idx="88">
                  <c:v>Pen Grips For Kids Pen Grip Posture Correction Tool For Kids</c:v>
                </c:pt>
                <c:pt idx="89">
                  <c:v>Pilates Cloth Bag Waterproof Durable High Capacity Purple</c:v>
                </c:pt>
                <c:pt idx="90">
                  <c:v>Portable Home Small Air Humidifier 3-Speed Fan - Green</c:v>
                </c:pt>
                <c:pt idx="91">
                  <c:v>Portable Mini Cordless Car Vacuum Cleaner - Blue</c:v>
                </c:pt>
                <c:pt idx="92">
                  <c:v>Portable Soap Dispenser Kitchen Detergent Press Box Kitchen Tools</c:v>
                </c:pt>
                <c:pt idx="93">
                  <c:v>Portable Wardrobe Nonwoven With 3 Hanging Rods And 6 Storage Shelves</c:v>
                </c:pt>
                <c:pt idx="94">
                  <c:v>Portable Wine Table With Folding Round Table</c:v>
                </c:pt>
                <c:pt idx="95">
                  <c:v>Punch-free Great Load Bearing Bathroom Storage Rack Wall Shelf-White</c:v>
                </c:pt>
                <c:pt idx="96">
                  <c:v>Sewing Machine Needle Threader Stitch Insertion Tool Automatic Quick Sewing</c:v>
                </c:pt>
                <c:pt idx="97">
                  <c:v>Shower Cap Wide Elastic Band Cover Reusable Bashroom Cap</c:v>
                </c:pt>
                <c:pt idx="98">
                  <c:v>Shower Nozzle Cleaning Unclogging Needle Mini Crevice Small Hole Cleaning Brush</c:v>
                </c:pt>
                <c:pt idx="99">
                  <c:v>Simple Metal Dog Art Sculpture Decoration For Home Office</c:v>
                </c:pt>
                <c:pt idx="100">
                  <c:v>Thickening Multipurpose Non Stick Easy To Clean Heat Resistant Spoon Pad</c:v>
                </c:pt>
                <c:pt idx="101">
                  <c:v>VIC Wireless Vacuum Cleaner Dual Use For Home And Car 120W High Power Powerful</c:v>
                </c:pt>
                <c:pt idx="102">
                  <c:v>Wall Clock With Hidden Safe Box</c:v>
                </c:pt>
                <c:pt idx="103">
                  <c:v>Wall Mount Automatic Toothpaste Dispenser Toothbrush Holder Toothpaste Squeezer</c:v>
                </c:pt>
                <c:pt idx="104">
                  <c:v>Wall-mounted Sticker Punch-free Plug Fixer</c:v>
                </c:pt>
                <c:pt idx="105">
                  <c:v>Wall-Mounted Toothbrush Toothpaste Holder With Multiple Slots</c:v>
                </c:pt>
                <c:pt idx="106">
                  <c:v>Watercolour Gold Foil Textured Print Pillow Cover</c:v>
                </c:pt>
                <c:pt idx="107">
                  <c:v>Weighing Scale Digital Bathroom Body Fat Scale USB-Black</c:v>
                </c:pt>
                <c:pt idx="108">
                  <c:v>Wrought Iron Bathroom Shelf Wall Mounted Free Punch Toilet Rack</c:v>
                </c:pt>
                <c:pt idx="109">
                  <c:v>(blank)</c:v>
                </c:pt>
              </c:strCache>
            </c:strRef>
          </c:cat>
          <c:val>
            <c:numRef>
              <c:f>'PRODUCT CONT TO AVERAGE R'!$C$4:$C$114</c:f>
              <c:numCache>
                <c:formatCode>General</c:formatCode>
                <c:ptCount val="110"/>
                <c:pt idx="0">
                  <c:v>4.5</c:v>
                </c:pt>
                <c:pt idx="1">
                  <c:v>4.7</c:v>
                </c:pt>
                <c:pt idx="2">
                  <c:v>4.5</c:v>
                </c:pt>
                <c:pt idx="3">
                  <c:v>3.8</c:v>
                </c:pt>
                <c:pt idx="4">
                  <c:v>4.7</c:v>
                </c:pt>
                <c:pt idx="5">
                  <c:v>2.8</c:v>
                </c:pt>
                <c:pt idx="6">
                  <c:v>#N/A</c:v>
                </c:pt>
                <c:pt idx="7">
                  <c:v>3.8</c:v>
                </c:pt>
                <c:pt idx="8">
                  <c:v>4.5999999999999996</c:v>
                </c:pt>
                <c:pt idx="9">
                  <c:v>#N/A</c:v>
                </c:pt>
                <c:pt idx="10">
                  <c:v>#N/A</c:v>
                </c:pt>
                <c:pt idx="11">
                  <c:v>4</c:v>
                </c:pt>
                <c:pt idx="12">
                  <c:v>#N/A</c:v>
                </c:pt>
                <c:pt idx="13">
                  <c:v>#N/A</c:v>
                </c:pt>
                <c:pt idx="14">
                  <c:v>#N/A</c:v>
                </c:pt>
                <c:pt idx="15">
                  <c:v>#N/A</c:v>
                </c:pt>
                <c:pt idx="16">
                  <c:v>3</c:v>
                </c:pt>
                <c:pt idx="17">
                  <c:v>2.2999999999999998</c:v>
                </c:pt>
                <c:pt idx="18">
                  <c:v>4.5999999999999996</c:v>
                </c:pt>
                <c:pt idx="19">
                  <c:v>#N/A</c:v>
                </c:pt>
                <c:pt idx="20">
                  <c:v>3.3</c:v>
                </c:pt>
                <c:pt idx="21">
                  <c:v>#N/A</c:v>
                </c:pt>
                <c:pt idx="22">
                  <c:v>4.8</c:v>
                </c:pt>
                <c:pt idx="23">
                  <c:v>#N/A</c:v>
                </c:pt>
                <c:pt idx="24">
                  <c:v>#N/A</c:v>
                </c:pt>
                <c:pt idx="25">
                  <c:v>2.5</c:v>
                </c:pt>
                <c:pt idx="26">
                  <c:v>4.0999999999999996</c:v>
                </c:pt>
                <c:pt idx="27">
                  <c:v>4.5</c:v>
                </c:pt>
                <c:pt idx="28">
                  <c:v>4.7</c:v>
                </c:pt>
                <c:pt idx="29">
                  <c:v>#N/A</c:v>
                </c:pt>
                <c:pt idx="30">
                  <c:v>2.1</c:v>
                </c:pt>
                <c:pt idx="31">
                  <c:v>#N/A</c:v>
                </c:pt>
                <c:pt idx="32">
                  <c:v>#N/A</c:v>
                </c:pt>
                <c:pt idx="33">
                  <c:v>#N/A</c:v>
                </c:pt>
                <c:pt idx="34">
                  <c:v>#N/A</c:v>
                </c:pt>
                <c:pt idx="35">
                  <c:v>2.2000000000000002</c:v>
                </c:pt>
                <c:pt idx="36">
                  <c:v>#N/A</c:v>
                </c:pt>
                <c:pt idx="37">
                  <c:v>#N/A</c:v>
                </c:pt>
                <c:pt idx="38">
                  <c:v>2.6</c:v>
                </c:pt>
                <c:pt idx="39">
                  <c:v>#N/A</c:v>
                </c:pt>
                <c:pt idx="40">
                  <c:v>5</c:v>
                </c:pt>
                <c:pt idx="41">
                  <c:v>2.2000000000000002</c:v>
                </c:pt>
                <c:pt idx="42">
                  <c:v>#N/A</c:v>
                </c:pt>
                <c:pt idx="43">
                  <c:v>#N/A</c:v>
                </c:pt>
                <c:pt idx="44">
                  <c:v>5</c:v>
                </c:pt>
                <c:pt idx="45">
                  <c:v>#N/A</c:v>
                </c:pt>
                <c:pt idx="46">
                  <c:v>#N/A</c:v>
                </c:pt>
                <c:pt idx="47">
                  <c:v>#N/A</c:v>
                </c:pt>
                <c:pt idx="48">
                  <c:v>#N/A</c:v>
                </c:pt>
                <c:pt idx="49">
                  <c:v>#N/A</c:v>
                </c:pt>
                <c:pt idx="50">
                  <c:v>#N/A</c:v>
                </c:pt>
                <c:pt idx="51">
                  <c:v>#N/A</c:v>
                </c:pt>
                <c:pt idx="52">
                  <c:v>5</c:v>
                </c:pt>
                <c:pt idx="53">
                  <c:v>#N/A</c:v>
                </c:pt>
                <c:pt idx="54">
                  <c:v>#N/A</c:v>
                </c:pt>
                <c:pt idx="55">
                  <c:v>#N/A</c:v>
                </c:pt>
                <c:pt idx="56">
                  <c:v>4</c:v>
                </c:pt>
                <c:pt idx="57">
                  <c:v>5</c:v>
                </c:pt>
                <c:pt idx="58">
                  <c:v>2.1</c:v>
                </c:pt>
                <c:pt idx="59">
                  <c:v>4.5999999999999996</c:v>
                </c:pt>
                <c:pt idx="60">
                  <c:v>4.3</c:v>
                </c:pt>
                <c:pt idx="61">
                  <c:v>4.4000000000000004</c:v>
                </c:pt>
                <c:pt idx="62">
                  <c:v>4.0999999999999996</c:v>
                </c:pt>
                <c:pt idx="63">
                  <c:v>4</c:v>
                </c:pt>
                <c:pt idx="64">
                  <c:v>2.7</c:v>
                </c:pt>
                <c:pt idx="65">
                  <c:v>5</c:v>
                </c:pt>
                <c:pt idx="66">
                  <c:v>3</c:v>
                </c:pt>
                <c:pt idx="67">
                  <c:v>4.3</c:v>
                </c:pt>
                <c:pt idx="68">
                  <c:v>5</c:v>
                </c:pt>
                <c:pt idx="69">
                  <c:v>4.5</c:v>
                </c:pt>
                <c:pt idx="70">
                  <c:v>4.8</c:v>
                </c:pt>
                <c:pt idx="71">
                  <c:v>#N/A</c:v>
                </c:pt>
                <c:pt idx="72">
                  <c:v>4.3</c:v>
                </c:pt>
                <c:pt idx="73">
                  <c:v>4</c:v>
                </c:pt>
                <c:pt idx="74">
                  <c:v>#N/A</c:v>
                </c:pt>
                <c:pt idx="75">
                  <c:v>4.5999999999999996</c:v>
                </c:pt>
                <c:pt idx="76">
                  <c:v>3</c:v>
                </c:pt>
                <c:pt idx="77">
                  <c:v>4.0999999999999996</c:v>
                </c:pt>
                <c:pt idx="78">
                  <c:v>#N/A</c:v>
                </c:pt>
                <c:pt idx="79">
                  <c:v>#N/A</c:v>
                </c:pt>
                <c:pt idx="80">
                  <c:v>4.2</c:v>
                </c:pt>
                <c:pt idx="81">
                  <c:v>#N/A</c:v>
                </c:pt>
                <c:pt idx="82">
                  <c:v>#N/A</c:v>
                </c:pt>
                <c:pt idx="83">
                  <c:v>#N/A</c:v>
                </c:pt>
                <c:pt idx="84">
                  <c:v>3</c:v>
                </c:pt>
                <c:pt idx="85">
                  <c:v>#N/A</c:v>
                </c:pt>
                <c:pt idx="86">
                  <c:v>#N/A</c:v>
                </c:pt>
                <c:pt idx="87">
                  <c:v>5</c:v>
                </c:pt>
                <c:pt idx="88">
                  <c:v>#N/A</c:v>
                </c:pt>
                <c:pt idx="89">
                  <c:v>#N/A</c:v>
                </c:pt>
                <c:pt idx="90">
                  <c:v>4.8</c:v>
                </c:pt>
                <c:pt idx="91">
                  <c:v>4.5999999999999996</c:v>
                </c:pt>
                <c:pt idx="92">
                  <c:v>#N/A</c:v>
                </c:pt>
                <c:pt idx="93">
                  <c:v>3.8</c:v>
                </c:pt>
                <c:pt idx="94">
                  <c:v>#N/A</c:v>
                </c:pt>
                <c:pt idx="95">
                  <c:v>4.3</c:v>
                </c:pt>
                <c:pt idx="96">
                  <c:v>#N/A</c:v>
                </c:pt>
                <c:pt idx="97">
                  <c:v>#N/A</c:v>
                </c:pt>
                <c:pt idx="98">
                  <c:v>#N/A</c:v>
                </c:pt>
                <c:pt idx="99">
                  <c:v>#N/A</c:v>
                </c:pt>
                <c:pt idx="100">
                  <c:v>#N/A</c:v>
                </c:pt>
                <c:pt idx="101">
                  <c:v>2.9</c:v>
                </c:pt>
                <c:pt idx="102">
                  <c:v>#N/A</c:v>
                </c:pt>
                <c:pt idx="103">
                  <c:v>#N/A</c:v>
                </c:pt>
                <c:pt idx="104">
                  <c:v>2</c:v>
                </c:pt>
                <c:pt idx="105">
                  <c:v>#N/A</c:v>
                </c:pt>
                <c:pt idx="106">
                  <c:v>2.2999999999999998</c:v>
                </c:pt>
                <c:pt idx="107">
                  <c:v>4.7</c:v>
                </c:pt>
                <c:pt idx="108">
                  <c:v>3</c:v>
                </c:pt>
                <c:pt idx="109">
                  <c:v>2</c:v>
                </c:pt>
              </c:numCache>
            </c:numRef>
          </c:val>
          <c:extLst>
            <c:ext xmlns:c16="http://schemas.microsoft.com/office/drawing/2014/chart" uri="{C3380CC4-5D6E-409C-BE32-E72D297353CC}">
              <c16:uniqueId val="{00000001-9582-4FC9-BB5A-EFE11D67799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[Excel_jumia.xlsx]Avg Disc and COUNT OF Reviews!PivotTable26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0000"/>
                </a:solidFill>
              </a:rPr>
              <a:t>Avg</a:t>
            </a:r>
            <a:r>
              <a:rPr lang="en-US" baseline="0">
                <a:solidFill>
                  <a:srgbClr val="FF0000"/>
                </a:solidFill>
              </a:rPr>
              <a:t> disc and count of reviews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Disc and COUNT OF Reviews'!$A$3</c:f>
              <c:strCache>
                <c:ptCount val="1"/>
                <c:pt idx="0">
                  <c:v>Average of Discount</c:v>
                </c:pt>
              </c:strCache>
            </c:strRef>
          </c:tx>
          <c:spPr>
            <a:solidFill>
              <a:schemeClr val="accent1"/>
            </a:solidFill>
            <a:ln>
              <a:noFill/>
            </a:ln>
            <a:effectLst/>
          </c:spPr>
          <c:invertIfNegative val="0"/>
          <c:cat>
            <c:strRef>
              <c:f>'Avg Disc and COUNT OF Reviews'!$A$4</c:f>
              <c:strCache>
                <c:ptCount val="1"/>
                <c:pt idx="0">
                  <c:v>Total</c:v>
                </c:pt>
              </c:strCache>
            </c:strRef>
          </c:cat>
          <c:val>
            <c:numRef>
              <c:f>'Avg Disc and COUNT OF Reviews'!$A$4</c:f>
              <c:numCache>
                <c:formatCode>General</c:formatCode>
                <c:ptCount val="1"/>
                <c:pt idx="0">
                  <c:v>0.36385321100917417</c:v>
                </c:pt>
              </c:numCache>
            </c:numRef>
          </c:val>
          <c:extLst>
            <c:ext xmlns:c16="http://schemas.microsoft.com/office/drawing/2014/chart" uri="{C3380CC4-5D6E-409C-BE32-E72D297353CC}">
              <c16:uniqueId val="{00000000-E66D-4FF4-9ACA-03D45100E888}"/>
            </c:ext>
          </c:extLst>
        </c:ser>
        <c:ser>
          <c:idx val="1"/>
          <c:order val="1"/>
          <c:tx>
            <c:strRef>
              <c:f>'Avg Disc and COUNT OF Reviews'!$B$3</c:f>
              <c:strCache>
                <c:ptCount val="1"/>
                <c:pt idx="0">
                  <c:v>Count of Review</c:v>
                </c:pt>
              </c:strCache>
            </c:strRef>
          </c:tx>
          <c:spPr>
            <a:solidFill>
              <a:schemeClr val="accent2"/>
            </a:solidFill>
            <a:ln>
              <a:noFill/>
            </a:ln>
            <a:effectLst/>
          </c:spPr>
          <c:invertIfNegative val="0"/>
          <c:cat>
            <c:strRef>
              <c:f>'Avg Disc and COUNT OF Reviews'!$A$4</c:f>
              <c:strCache>
                <c:ptCount val="1"/>
                <c:pt idx="0">
                  <c:v>Total</c:v>
                </c:pt>
              </c:strCache>
            </c:strRef>
          </c:cat>
          <c:val>
            <c:numRef>
              <c:f>'Avg Disc and COUNT OF Reviews'!$B$4</c:f>
              <c:numCache>
                <c:formatCode>General</c:formatCode>
                <c:ptCount val="1"/>
                <c:pt idx="0">
                  <c:v>109</c:v>
                </c:pt>
              </c:numCache>
            </c:numRef>
          </c:val>
          <c:extLst>
            <c:ext xmlns:c16="http://schemas.microsoft.com/office/drawing/2014/chart" uri="{C3380CC4-5D6E-409C-BE32-E72D297353CC}">
              <c16:uniqueId val="{00000001-E66D-4FF4-9ACA-03D45100E888}"/>
            </c:ext>
          </c:extLst>
        </c:ser>
        <c:dLbls>
          <c:showLegendKey val="0"/>
          <c:showVal val="0"/>
          <c:showCatName val="0"/>
          <c:showSerName val="0"/>
          <c:showPercent val="0"/>
          <c:showBubbleSize val="0"/>
        </c:dLbls>
        <c:gapWidth val="219"/>
        <c:overlap val="-27"/>
        <c:axId val="1429022655"/>
        <c:axId val="1429011135"/>
      </c:barChart>
      <c:catAx>
        <c:axId val="1429022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29011135"/>
        <c:crosses val="autoZero"/>
        <c:auto val="1"/>
        <c:lblAlgn val="ctr"/>
        <c:lblOffset val="100"/>
        <c:noMultiLvlLbl val="0"/>
      </c:catAx>
      <c:valAx>
        <c:axId val="1429011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29022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[Excel_jumia.xlsx]product count!PivotTable16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a:solidFill>
                  <a:srgbClr val="FF0000"/>
                </a:solidFill>
              </a:rPr>
              <a:t>Product</a:t>
            </a:r>
            <a:r>
              <a:rPr lang="en-US" b="0" baseline="0">
                <a:solidFill>
                  <a:srgbClr val="FF0000"/>
                </a:solidFill>
              </a:rPr>
              <a:t> count</a:t>
            </a:r>
          </a:p>
          <a:p>
            <a:pPr>
              <a:defRPr/>
            </a:pP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'product count'!$B$3</c:f>
              <c:strCache>
                <c:ptCount val="1"/>
                <c:pt idx="0">
                  <c:v>Total</c:v>
                </c:pt>
              </c:strCache>
            </c:strRef>
          </c:tx>
          <c:spPr>
            <a:ln w="28575" cap="rnd">
              <a:solidFill>
                <a:schemeClr val="accent1"/>
              </a:solidFill>
              <a:round/>
            </a:ln>
            <a:effectLst/>
          </c:spPr>
          <c:marker>
            <c:symbol val="none"/>
          </c:marker>
          <c:cat>
            <c:strRef>
              <c:f>'product count'!$A$4:$A$9</c:f>
              <c:strCache>
                <c:ptCount val="5"/>
                <c:pt idx="0">
                  <c:v>Average</c:v>
                </c:pt>
                <c:pt idx="1">
                  <c:v>Excellent</c:v>
                </c:pt>
                <c:pt idx="2">
                  <c:v>N/A</c:v>
                </c:pt>
                <c:pt idx="3">
                  <c:v>Poor</c:v>
                </c:pt>
                <c:pt idx="4">
                  <c:v>(blank)</c:v>
                </c:pt>
              </c:strCache>
            </c:strRef>
          </c:cat>
          <c:val>
            <c:numRef>
              <c:f>'product count'!$B$4:$B$9</c:f>
              <c:numCache>
                <c:formatCode>General</c:formatCode>
                <c:ptCount val="5"/>
                <c:pt idx="0">
                  <c:v>22</c:v>
                </c:pt>
                <c:pt idx="1">
                  <c:v>23</c:v>
                </c:pt>
                <c:pt idx="2">
                  <c:v>52</c:v>
                </c:pt>
                <c:pt idx="3">
                  <c:v>12</c:v>
                </c:pt>
              </c:numCache>
            </c:numRef>
          </c:val>
          <c:smooth val="0"/>
          <c:extLst>
            <c:ext xmlns:c16="http://schemas.microsoft.com/office/drawing/2014/chart" uri="{C3380CC4-5D6E-409C-BE32-E72D297353CC}">
              <c16:uniqueId val="{00000000-EE9E-40CE-8BD4-13C809864503}"/>
            </c:ext>
          </c:extLst>
        </c:ser>
        <c:dLbls>
          <c:showLegendKey val="0"/>
          <c:showVal val="0"/>
          <c:showCatName val="0"/>
          <c:showSerName val="0"/>
          <c:showPercent val="0"/>
          <c:showBubbleSize val="0"/>
        </c:dLbls>
        <c:smooth val="0"/>
        <c:axId val="1429050495"/>
        <c:axId val="1429055295"/>
      </c:lineChart>
      <c:catAx>
        <c:axId val="1429050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29055295"/>
        <c:crosses val="autoZero"/>
        <c:auto val="1"/>
        <c:lblAlgn val="ctr"/>
        <c:lblOffset val="100"/>
        <c:noMultiLvlLbl val="0"/>
      </c:catAx>
      <c:valAx>
        <c:axId val="14290552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29050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[Excel_jumia.xlsx]Average Rting by Discount and c!PivotTable15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0000"/>
                </a:solidFill>
              </a:rPr>
              <a:t>Avg</a:t>
            </a:r>
            <a:r>
              <a:rPr lang="en-US" baseline="0">
                <a:solidFill>
                  <a:srgbClr val="FF0000"/>
                </a:solidFill>
              </a:rPr>
              <a:t> DISC TO RAT</a:t>
            </a:r>
            <a:r>
              <a:rPr lang="en-US">
                <a:solidFill>
                  <a:srgbClr val="FF0000"/>
                </a:solidFill>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 Rting by Discount and c'!$B$3</c:f>
              <c:strCache>
                <c:ptCount val="1"/>
                <c:pt idx="0">
                  <c:v>Average of Rating</c:v>
                </c:pt>
              </c:strCache>
            </c:strRef>
          </c:tx>
          <c:spPr>
            <a:solidFill>
              <a:schemeClr val="accent1"/>
            </a:solidFill>
            <a:ln>
              <a:noFill/>
            </a:ln>
            <a:effectLst/>
          </c:spPr>
          <c:invertIfNegative val="0"/>
          <c:cat>
            <c:strRef>
              <c:f>'Average Rting by Discount and c'!$A$4:$A$8</c:f>
              <c:strCache>
                <c:ptCount val="4"/>
                <c:pt idx="0">
                  <c:v>high</c:v>
                </c:pt>
                <c:pt idx="1">
                  <c:v>low</c:v>
                </c:pt>
                <c:pt idx="2">
                  <c:v>medium</c:v>
                </c:pt>
                <c:pt idx="3">
                  <c:v>(blank)</c:v>
                </c:pt>
              </c:strCache>
            </c:strRef>
          </c:cat>
          <c:val>
            <c:numRef>
              <c:f>'Average Rting by Discount and c'!$B$4:$B$8</c:f>
              <c:numCache>
                <c:formatCode>General</c:formatCode>
                <c:ptCount val="4"/>
                <c:pt idx="0">
                  <c:v>3.6133333333333324</c:v>
                </c:pt>
                <c:pt idx="1">
                  <c:v>3.7249999999999996</c:v>
                </c:pt>
                <c:pt idx="2">
                  <c:v>4.2782608695652184</c:v>
                </c:pt>
                <c:pt idx="3">
                  <c:v>2</c:v>
                </c:pt>
              </c:numCache>
            </c:numRef>
          </c:val>
          <c:extLst>
            <c:ext xmlns:c16="http://schemas.microsoft.com/office/drawing/2014/chart" uri="{C3380CC4-5D6E-409C-BE32-E72D297353CC}">
              <c16:uniqueId val="{00000000-82CF-4F8B-BED7-1757DFE54304}"/>
            </c:ext>
          </c:extLst>
        </c:ser>
        <c:ser>
          <c:idx val="1"/>
          <c:order val="1"/>
          <c:tx>
            <c:strRef>
              <c:f>'Average Rting by Discount and c'!$C$3</c:f>
              <c:strCache>
                <c:ptCount val="1"/>
                <c:pt idx="0">
                  <c:v>Average of Discount</c:v>
                </c:pt>
              </c:strCache>
            </c:strRef>
          </c:tx>
          <c:spPr>
            <a:solidFill>
              <a:schemeClr val="accent2"/>
            </a:solidFill>
            <a:ln>
              <a:noFill/>
            </a:ln>
            <a:effectLst/>
          </c:spPr>
          <c:invertIfNegative val="0"/>
          <c:cat>
            <c:strRef>
              <c:f>'Average Rting by Discount and c'!$A$4:$A$8</c:f>
              <c:strCache>
                <c:ptCount val="4"/>
                <c:pt idx="0">
                  <c:v>high</c:v>
                </c:pt>
                <c:pt idx="1">
                  <c:v>low</c:v>
                </c:pt>
                <c:pt idx="2">
                  <c:v>medium</c:v>
                </c:pt>
                <c:pt idx="3">
                  <c:v>(blank)</c:v>
                </c:pt>
              </c:strCache>
            </c:strRef>
          </c:cat>
          <c:val>
            <c:numRef>
              <c:f>'Average Rting by Discount and c'!$C$4:$C$8</c:f>
              <c:numCache>
                <c:formatCode>0.0%</c:formatCode>
                <c:ptCount val="4"/>
                <c:pt idx="0">
                  <c:v>0.48203389830508458</c:v>
                </c:pt>
                <c:pt idx="1">
                  <c:v>7.2222222222222243E-2</c:v>
                </c:pt>
                <c:pt idx="2">
                  <c:v>0.30999999999999994</c:v>
                </c:pt>
                <c:pt idx="3">
                  <c:v>0.36385321100917423</c:v>
                </c:pt>
              </c:numCache>
            </c:numRef>
          </c:val>
          <c:extLst>
            <c:ext xmlns:c16="http://schemas.microsoft.com/office/drawing/2014/chart" uri="{C3380CC4-5D6E-409C-BE32-E72D297353CC}">
              <c16:uniqueId val="{00000001-82CF-4F8B-BED7-1757DFE54304}"/>
            </c:ext>
          </c:extLst>
        </c:ser>
        <c:dLbls>
          <c:showLegendKey val="0"/>
          <c:showVal val="0"/>
          <c:showCatName val="0"/>
          <c:showSerName val="0"/>
          <c:showPercent val="0"/>
          <c:showBubbleSize val="0"/>
        </c:dLbls>
        <c:gapWidth val="219"/>
        <c:overlap val="-27"/>
        <c:axId val="807030031"/>
        <c:axId val="807030511"/>
      </c:barChart>
      <c:catAx>
        <c:axId val="807030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07030511"/>
        <c:crosses val="autoZero"/>
        <c:auto val="1"/>
        <c:lblAlgn val="ctr"/>
        <c:lblOffset val="100"/>
        <c:noMultiLvlLbl val="0"/>
      </c:catAx>
      <c:valAx>
        <c:axId val="807030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07030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[Excel_jumia.xlsx]Avg Disc and COUNT OF Reviews!PivotTable26</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0000"/>
                </a:solidFill>
              </a:rPr>
              <a:t>Avg</a:t>
            </a:r>
            <a:r>
              <a:rPr lang="en-US" baseline="0">
                <a:solidFill>
                  <a:srgbClr val="FF0000"/>
                </a:solidFill>
              </a:rPr>
              <a:t> disc and count of reviews</a:t>
            </a:r>
          </a:p>
          <a:p>
            <a:pPr>
              <a:defRPr/>
            </a:pPr>
            <a:endParaRPr lang="en-US"/>
          </a:p>
        </c:rich>
      </c:tx>
      <c:layout>
        <c:manualLayout>
          <c:xMode val="edge"/>
          <c:yMode val="edge"/>
          <c:x val="0.24872338442901737"/>
          <c:y val="0.1534768153980752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'Avg Disc and COUNT OF Reviews'!$A$3</c:f>
              <c:strCache>
                <c:ptCount val="1"/>
                <c:pt idx="0">
                  <c:v>Average of Discount</c:v>
                </c:pt>
              </c:strCache>
            </c:strRef>
          </c:tx>
          <c:spPr>
            <a:solidFill>
              <a:schemeClr val="accent1"/>
            </a:solidFill>
            <a:ln>
              <a:noFill/>
            </a:ln>
            <a:effectLst/>
          </c:spPr>
          <c:invertIfNegative val="0"/>
          <c:cat>
            <c:strRef>
              <c:f>'Avg Disc and COUNT OF Reviews'!$A$4</c:f>
              <c:strCache>
                <c:ptCount val="1"/>
                <c:pt idx="0">
                  <c:v>Total</c:v>
                </c:pt>
              </c:strCache>
            </c:strRef>
          </c:cat>
          <c:val>
            <c:numRef>
              <c:f>'Avg Disc and COUNT OF Reviews'!$A$4</c:f>
              <c:numCache>
                <c:formatCode>General</c:formatCode>
                <c:ptCount val="1"/>
                <c:pt idx="0">
                  <c:v>0.36385321100917417</c:v>
                </c:pt>
              </c:numCache>
            </c:numRef>
          </c:val>
          <c:extLst>
            <c:ext xmlns:c16="http://schemas.microsoft.com/office/drawing/2014/chart" uri="{C3380CC4-5D6E-409C-BE32-E72D297353CC}">
              <c16:uniqueId val="{00000000-1342-43CE-8057-1D94B62A4769}"/>
            </c:ext>
          </c:extLst>
        </c:ser>
        <c:ser>
          <c:idx val="1"/>
          <c:order val="1"/>
          <c:tx>
            <c:strRef>
              <c:f>'Avg Disc and COUNT OF Reviews'!$B$3</c:f>
              <c:strCache>
                <c:ptCount val="1"/>
                <c:pt idx="0">
                  <c:v>Count of Review</c:v>
                </c:pt>
              </c:strCache>
            </c:strRef>
          </c:tx>
          <c:spPr>
            <a:solidFill>
              <a:schemeClr val="accent2"/>
            </a:solidFill>
            <a:ln>
              <a:noFill/>
            </a:ln>
            <a:effectLst/>
          </c:spPr>
          <c:invertIfNegative val="0"/>
          <c:cat>
            <c:strRef>
              <c:f>'Avg Disc and COUNT OF Reviews'!$A$4</c:f>
              <c:strCache>
                <c:ptCount val="1"/>
                <c:pt idx="0">
                  <c:v>Total</c:v>
                </c:pt>
              </c:strCache>
            </c:strRef>
          </c:cat>
          <c:val>
            <c:numRef>
              <c:f>'Avg Disc and COUNT OF Reviews'!$B$4</c:f>
              <c:numCache>
                <c:formatCode>General</c:formatCode>
                <c:ptCount val="1"/>
                <c:pt idx="0">
                  <c:v>109</c:v>
                </c:pt>
              </c:numCache>
            </c:numRef>
          </c:val>
          <c:extLst>
            <c:ext xmlns:c16="http://schemas.microsoft.com/office/drawing/2014/chart" uri="{C3380CC4-5D6E-409C-BE32-E72D297353CC}">
              <c16:uniqueId val="{00000001-1342-43CE-8057-1D94B62A4769}"/>
            </c:ext>
          </c:extLst>
        </c:ser>
        <c:dLbls>
          <c:showLegendKey val="0"/>
          <c:showVal val="0"/>
          <c:showCatName val="0"/>
          <c:showSerName val="0"/>
          <c:showPercent val="0"/>
          <c:showBubbleSize val="0"/>
        </c:dLbls>
        <c:gapWidth val="219"/>
        <c:overlap val="-27"/>
        <c:axId val="1429022655"/>
        <c:axId val="1429011135"/>
      </c:barChart>
      <c:catAx>
        <c:axId val="1429022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29011135"/>
        <c:crosses val="autoZero"/>
        <c:auto val="1"/>
        <c:lblAlgn val="ctr"/>
        <c:lblOffset val="100"/>
        <c:noMultiLvlLbl val="0"/>
      </c:catAx>
      <c:valAx>
        <c:axId val="1429011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429022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133350</xdr:colOff>
      <xdr:row>1</xdr:row>
      <xdr:rowOff>114300</xdr:rowOff>
    </xdr:from>
    <xdr:to>
      <xdr:col>9</xdr:col>
      <xdr:colOff>222250</xdr:colOff>
      <xdr:row>13</xdr:row>
      <xdr:rowOff>165100</xdr:rowOff>
    </xdr:to>
    <xdr:graphicFrame macro="">
      <xdr:nvGraphicFramePr>
        <xdr:cNvPr id="3" name="Chart 2">
          <a:extLst>
            <a:ext uri="{FF2B5EF4-FFF2-40B4-BE49-F238E27FC236}">
              <a16:creationId xmlns:a16="http://schemas.microsoft.com/office/drawing/2014/main" id="{E84259B5-B11F-1B81-06E0-29E33DE969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406400</xdr:colOff>
      <xdr:row>9</xdr:row>
      <xdr:rowOff>31750</xdr:rowOff>
    </xdr:from>
    <xdr:to>
      <xdr:col>2</xdr:col>
      <xdr:colOff>285750</xdr:colOff>
      <xdr:row>22</xdr:row>
      <xdr:rowOff>161925</xdr:rowOff>
    </xdr:to>
    <mc:AlternateContent xmlns:mc="http://schemas.openxmlformats.org/markup-compatibility/2006">
      <mc:Choice xmlns:a14="http://schemas.microsoft.com/office/drawing/2010/main" Requires="a14">
        <xdr:graphicFrame macro="">
          <xdr:nvGraphicFramePr>
            <xdr:cNvPr id="4" name="Discount 2">
              <a:extLst>
                <a:ext uri="{FF2B5EF4-FFF2-40B4-BE49-F238E27FC236}">
                  <a16:creationId xmlns:a16="http://schemas.microsoft.com/office/drawing/2014/main" id="{F87BC548-1E36-54E2-F4F2-2487E99D5E02}"/>
                </a:ext>
              </a:extLst>
            </xdr:cNvPr>
            <xdr:cNvGraphicFramePr/>
          </xdr:nvGraphicFramePr>
          <xdr:xfrm>
            <a:off x="0" y="0"/>
            <a:ext cx="0" cy="0"/>
          </xdr:xfrm>
          <a:graphic>
            <a:graphicData uri="http://schemas.microsoft.com/office/drawing/2010/slicer">
              <sle:slicer xmlns:sle="http://schemas.microsoft.com/office/drawing/2010/slicer" name="Discount 2"/>
            </a:graphicData>
          </a:graphic>
        </xdr:graphicFrame>
      </mc:Choice>
      <mc:Fallback>
        <xdr:sp macro="" textlink="">
          <xdr:nvSpPr>
            <xdr:cNvPr id="0" name=""/>
            <xdr:cNvSpPr>
              <a:spLocks noTextEdit="1"/>
            </xdr:cNvSpPr>
          </xdr:nvSpPr>
          <xdr:spPr>
            <a:xfrm>
              <a:off x="406400" y="168910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228600</xdr:colOff>
      <xdr:row>1</xdr:row>
      <xdr:rowOff>171450</xdr:rowOff>
    </xdr:from>
    <xdr:to>
      <xdr:col>13</xdr:col>
      <xdr:colOff>228600</xdr:colOff>
      <xdr:row>15</xdr:row>
      <xdr:rowOff>117475</xdr:rowOff>
    </xdr:to>
    <mc:AlternateContent xmlns:mc="http://schemas.openxmlformats.org/markup-compatibility/2006">
      <mc:Choice xmlns:a14="http://schemas.microsoft.com/office/drawing/2010/main" Requires="a14">
        <xdr:graphicFrame macro="">
          <xdr:nvGraphicFramePr>
            <xdr:cNvPr id="5" name="Rating 3">
              <a:extLst>
                <a:ext uri="{FF2B5EF4-FFF2-40B4-BE49-F238E27FC236}">
                  <a16:creationId xmlns:a16="http://schemas.microsoft.com/office/drawing/2014/main" id="{24DF4D3B-1E6D-0B1D-870A-5AB9BB0F3465}"/>
                </a:ext>
              </a:extLst>
            </xdr:cNvPr>
            <xdr:cNvGraphicFramePr/>
          </xdr:nvGraphicFramePr>
          <xdr:xfrm>
            <a:off x="0" y="0"/>
            <a:ext cx="0" cy="0"/>
          </xdr:xfrm>
          <a:graphic>
            <a:graphicData uri="http://schemas.microsoft.com/office/drawing/2010/slicer">
              <sle:slicer xmlns:sle="http://schemas.microsoft.com/office/drawing/2010/slicer" name="Rating 3"/>
            </a:graphicData>
          </a:graphic>
        </xdr:graphicFrame>
      </mc:Choice>
      <mc:Fallback>
        <xdr:sp macro="" textlink="">
          <xdr:nvSpPr>
            <xdr:cNvPr id="0" name=""/>
            <xdr:cNvSpPr>
              <a:spLocks noTextEdit="1"/>
            </xdr:cNvSpPr>
          </xdr:nvSpPr>
          <xdr:spPr>
            <a:xfrm>
              <a:off x="8089900" y="35560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120650</xdr:colOff>
      <xdr:row>1</xdr:row>
      <xdr:rowOff>180975</xdr:rowOff>
    </xdr:from>
    <xdr:to>
      <xdr:col>10</xdr:col>
      <xdr:colOff>425450</xdr:colOff>
      <xdr:row>16</xdr:row>
      <xdr:rowOff>161925</xdr:rowOff>
    </xdr:to>
    <xdr:graphicFrame macro="">
      <xdr:nvGraphicFramePr>
        <xdr:cNvPr id="2" name="Chart 1">
          <a:extLst>
            <a:ext uri="{FF2B5EF4-FFF2-40B4-BE49-F238E27FC236}">
              <a16:creationId xmlns:a16="http://schemas.microsoft.com/office/drawing/2014/main" id="{3941AEC2-D70D-43F6-8EBC-06AD0618F9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298450</xdr:colOff>
      <xdr:row>9</xdr:row>
      <xdr:rowOff>82550</xdr:rowOff>
    </xdr:from>
    <xdr:to>
      <xdr:col>2</xdr:col>
      <xdr:colOff>196850</xdr:colOff>
      <xdr:row>23</xdr:row>
      <xdr:rowOff>28575</xdr:rowOff>
    </xdr:to>
    <mc:AlternateContent xmlns:mc="http://schemas.openxmlformats.org/markup-compatibility/2006">
      <mc:Choice xmlns:a14="http://schemas.microsoft.com/office/drawing/2010/main" Requires="a14">
        <xdr:graphicFrame macro="">
          <xdr:nvGraphicFramePr>
            <xdr:cNvPr id="3" name="Product 2">
              <a:extLst>
                <a:ext uri="{FF2B5EF4-FFF2-40B4-BE49-F238E27FC236}">
                  <a16:creationId xmlns:a16="http://schemas.microsoft.com/office/drawing/2014/main" id="{DDA7C5D2-1C76-434C-3141-2F85F54C3B8D}"/>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dr:sp macro="" textlink="">
          <xdr:nvSpPr>
            <xdr:cNvPr id="0" name=""/>
            <xdr:cNvSpPr>
              <a:spLocks noTextEdit="1"/>
            </xdr:cNvSpPr>
          </xdr:nvSpPr>
          <xdr:spPr>
            <a:xfrm>
              <a:off x="298450" y="173990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425450</xdr:colOff>
      <xdr:row>2</xdr:row>
      <xdr:rowOff>73025</xdr:rowOff>
    </xdr:from>
    <xdr:to>
      <xdr:col>11</xdr:col>
      <xdr:colOff>120650</xdr:colOff>
      <xdr:row>17</xdr:row>
      <xdr:rowOff>53975</xdr:rowOff>
    </xdr:to>
    <xdr:graphicFrame macro="">
      <xdr:nvGraphicFramePr>
        <xdr:cNvPr id="2" name="Chart 1">
          <a:extLst>
            <a:ext uri="{FF2B5EF4-FFF2-40B4-BE49-F238E27FC236}">
              <a16:creationId xmlns:a16="http://schemas.microsoft.com/office/drawing/2014/main" id="{4BDA9653-CF57-3D16-DFE6-F82D8993DA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374650</xdr:colOff>
      <xdr:row>2</xdr:row>
      <xdr:rowOff>6350</xdr:rowOff>
    </xdr:from>
    <xdr:to>
      <xdr:col>14</xdr:col>
      <xdr:colOff>374650</xdr:colOff>
      <xdr:row>15</xdr:row>
      <xdr:rowOff>136525</xdr:rowOff>
    </xdr:to>
    <mc:AlternateContent xmlns:mc="http://schemas.openxmlformats.org/markup-compatibility/2006">
      <mc:Choice xmlns:a14="http://schemas.microsoft.com/office/drawing/2010/main" Requires="a14">
        <xdr:graphicFrame macro="">
          <xdr:nvGraphicFramePr>
            <xdr:cNvPr id="3" name="Discount">
              <a:extLst>
                <a:ext uri="{FF2B5EF4-FFF2-40B4-BE49-F238E27FC236}">
                  <a16:creationId xmlns:a16="http://schemas.microsoft.com/office/drawing/2014/main" id="{CB25B0F8-91BD-B769-BCC3-BD40CDAA146E}"/>
                </a:ext>
              </a:extLst>
            </xdr:cNvPr>
            <xdr:cNvGraphicFramePr/>
          </xdr:nvGraphicFramePr>
          <xdr:xfrm>
            <a:off x="0" y="0"/>
            <a:ext cx="0" cy="0"/>
          </xdr:xfrm>
          <a:graphic>
            <a:graphicData uri="http://schemas.microsoft.com/office/drawing/2010/slicer">
              <sle:slicer xmlns:sle="http://schemas.microsoft.com/office/drawing/2010/slicer" name="Discount"/>
            </a:graphicData>
          </a:graphic>
        </xdr:graphicFrame>
      </mc:Choice>
      <mc:Fallback>
        <xdr:sp macro="" textlink="">
          <xdr:nvSpPr>
            <xdr:cNvPr id="0" name=""/>
            <xdr:cNvSpPr>
              <a:spLocks noTextEdit="1"/>
            </xdr:cNvSpPr>
          </xdr:nvSpPr>
          <xdr:spPr>
            <a:xfrm>
              <a:off x="7639050" y="37465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387350</xdr:colOff>
      <xdr:row>2</xdr:row>
      <xdr:rowOff>38100</xdr:rowOff>
    </xdr:from>
    <xdr:to>
      <xdr:col>17</xdr:col>
      <xdr:colOff>387350</xdr:colOff>
      <xdr:row>15</xdr:row>
      <xdr:rowOff>168275</xdr:rowOff>
    </xdr:to>
    <mc:AlternateContent xmlns:mc="http://schemas.openxmlformats.org/markup-compatibility/2006">
      <mc:Choice xmlns:a14="http://schemas.microsoft.com/office/drawing/2010/main" Requires="a14">
        <xdr:graphicFrame macro="">
          <xdr:nvGraphicFramePr>
            <xdr:cNvPr id="4" name="Review">
              <a:extLst>
                <a:ext uri="{FF2B5EF4-FFF2-40B4-BE49-F238E27FC236}">
                  <a16:creationId xmlns:a16="http://schemas.microsoft.com/office/drawing/2014/main" id="{21EE9D10-3DFD-E7A0-F6F0-B55302DE36A7}"/>
                </a:ext>
              </a:extLst>
            </xdr:cNvPr>
            <xdr:cNvGraphicFramePr/>
          </xdr:nvGraphicFramePr>
          <xdr:xfrm>
            <a:off x="0" y="0"/>
            <a:ext cx="0" cy="0"/>
          </xdr:xfrm>
          <a:graphic>
            <a:graphicData uri="http://schemas.microsoft.com/office/drawing/2010/slicer">
              <sle:slicer xmlns:sle="http://schemas.microsoft.com/office/drawing/2010/slicer" name="Review"/>
            </a:graphicData>
          </a:graphic>
        </xdr:graphicFrame>
      </mc:Choice>
      <mc:Fallback>
        <xdr:sp macro="" textlink="">
          <xdr:nvSpPr>
            <xdr:cNvPr id="0" name=""/>
            <xdr:cNvSpPr>
              <a:spLocks noTextEdit="1"/>
            </xdr:cNvSpPr>
          </xdr:nvSpPr>
          <xdr:spPr>
            <a:xfrm>
              <a:off x="9480550" y="40640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476250</xdr:colOff>
      <xdr:row>2</xdr:row>
      <xdr:rowOff>85725</xdr:rowOff>
    </xdr:from>
    <xdr:to>
      <xdr:col>10</xdr:col>
      <xdr:colOff>171450</xdr:colOff>
      <xdr:row>17</xdr:row>
      <xdr:rowOff>66675</xdr:rowOff>
    </xdr:to>
    <xdr:graphicFrame macro="">
      <xdr:nvGraphicFramePr>
        <xdr:cNvPr id="2" name="Chart 1">
          <a:extLst>
            <a:ext uri="{FF2B5EF4-FFF2-40B4-BE49-F238E27FC236}">
              <a16:creationId xmlns:a16="http://schemas.microsoft.com/office/drawing/2014/main" id="{1D21C699-5978-AE11-F484-7EB10741B1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177800</xdr:colOff>
      <xdr:row>1</xdr:row>
      <xdr:rowOff>107950</xdr:rowOff>
    </xdr:from>
    <xdr:to>
      <xdr:col>13</xdr:col>
      <xdr:colOff>177800</xdr:colOff>
      <xdr:row>15</xdr:row>
      <xdr:rowOff>53975</xdr:rowOff>
    </xdr:to>
    <mc:AlternateContent xmlns:mc="http://schemas.openxmlformats.org/markup-compatibility/2006">
      <mc:Choice xmlns:a14="http://schemas.microsoft.com/office/drawing/2010/main" Requires="a14">
        <xdr:graphicFrame macro="">
          <xdr:nvGraphicFramePr>
            <xdr:cNvPr id="3" name="Rating">
              <a:extLst>
                <a:ext uri="{FF2B5EF4-FFF2-40B4-BE49-F238E27FC236}">
                  <a16:creationId xmlns:a16="http://schemas.microsoft.com/office/drawing/2014/main" id="{4AC1F2F6-0844-9C74-29A0-F293B573B07F}"/>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dr:sp macro="" textlink="">
          <xdr:nvSpPr>
            <xdr:cNvPr id="0" name=""/>
            <xdr:cNvSpPr>
              <a:spLocks noTextEdit="1"/>
            </xdr:cNvSpPr>
          </xdr:nvSpPr>
          <xdr:spPr>
            <a:xfrm>
              <a:off x="6832600" y="29210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266700</xdr:colOff>
      <xdr:row>1</xdr:row>
      <xdr:rowOff>114300</xdr:rowOff>
    </xdr:from>
    <xdr:to>
      <xdr:col>16</xdr:col>
      <xdr:colOff>266700</xdr:colOff>
      <xdr:row>15</xdr:row>
      <xdr:rowOff>60325</xdr:rowOff>
    </xdr:to>
    <mc:AlternateContent xmlns:mc="http://schemas.openxmlformats.org/markup-compatibility/2006">
      <mc:Choice xmlns:a14="http://schemas.microsoft.com/office/drawing/2010/main" Requires="a14">
        <xdr:graphicFrame macro="">
          <xdr:nvGraphicFramePr>
            <xdr:cNvPr id="4" name="Review 1">
              <a:extLst>
                <a:ext uri="{FF2B5EF4-FFF2-40B4-BE49-F238E27FC236}">
                  <a16:creationId xmlns:a16="http://schemas.microsoft.com/office/drawing/2014/main" id="{B986EB3A-8D87-C301-8CD3-537357D0821F}"/>
                </a:ext>
              </a:extLst>
            </xdr:cNvPr>
            <xdr:cNvGraphicFramePr/>
          </xdr:nvGraphicFramePr>
          <xdr:xfrm>
            <a:off x="0" y="0"/>
            <a:ext cx="0" cy="0"/>
          </xdr:xfrm>
          <a:graphic>
            <a:graphicData uri="http://schemas.microsoft.com/office/drawing/2010/slicer">
              <sle:slicer xmlns:sle="http://schemas.microsoft.com/office/drawing/2010/slicer" name="Review 1"/>
            </a:graphicData>
          </a:graphic>
        </xdr:graphicFrame>
      </mc:Choice>
      <mc:Fallback>
        <xdr:sp macro="" textlink="">
          <xdr:nvSpPr>
            <xdr:cNvPr id="0" name=""/>
            <xdr:cNvSpPr>
              <a:spLocks noTextEdit="1"/>
            </xdr:cNvSpPr>
          </xdr:nvSpPr>
          <xdr:spPr>
            <a:xfrm>
              <a:off x="8750300" y="29845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406400</xdr:colOff>
      <xdr:row>3</xdr:row>
      <xdr:rowOff>107950</xdr:rowOff>
    </xdr:from>
    <xdr:to>
      <xdr:col>15</xdr:col>
      <xdr:colOff>190500</xdr:colOff>
      <xdr:row>16</xdr:row>
      <xdr:rowOff>127000</xdr:rowOff>
    </xdr:to>
    <xdr:graphicFrame macro="">
      <xdr:nvGraphicFramePr>
        <xdr:cNvPr id="2" name="Chart 1">
          <a:extLst>
            <a:ext uri="{FF2B5EF4-FFF2-40B4-BE49-F238E27FC236}">
              <a16:creationId xmlns:a16="http://schemas.microsoft.com/office/drawing/2014/main" id="{3CC9EAE5-2D77-5686-DD42-F61D446B65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393700</xdr:colOff>
      <xdr:row>2</xdr:row>
      <xdr:rowOff>177800</xdr:rowOff>
    </xdr:from>
    <xdr:to>
      <xdr:col>20</xdr:col>
      <xdr:colOff>241300</xdr:colOff>
      <xdr:row>16</xdr:row>
      <xdr:rowOff>123825</xdr:rowOff>
    </xdr:to>
    <mc:AlternateContent xmlns:mc="http://schemas.openxmlformats.org/markup-compatibility/2006">
      <mc:Choice xmlns:a14="http://schemas.microsoft.com/office/drawing/2010/main" Requires="a14">
        <xdr:graphicFrame macro="">
          <xdr:nvGraphicFramePr>
            <xdr:cNvPr id="3" name="Dscount Category">
              <a:extLst>
                <a:ext uri="{FF2B5EF4-FFF2-40B4-BE49-F238E27FC236}">
                  <a16:creationId xmlns:a16="http://schemas.microsoft.com/office/drawing/2014/main" id="{452E0510-0614-7F06-4B7F-9AC887C06813}"/>
                </a:ext>
              </a:extLst>
            </xdr:cNvPr>
            <xdr:cNvGraphicFramePr/>
          </xdr:nvGraphicFramePr>
          <xdr:xfrm>
            <a:off x="0" y="0"/>
            <a:ext cx="0" cy="0"/>
          </xdr:xfrm>
          <a:graphic>
            <a:graphicData uri="http://schemas.microsoft.com/office/drawing/2010/slicer">
              <sle:slicer xmlns:sle="http://schemas.microsoft.com/office/drawing/2010/slicer" name="Dscount Category"/>
            </a:graphicData>
          </a:graphic>
        </xdr:graphicFrame>
      </mc:Choice>
      <mc:Fallback>
        <xdr:sp macro="" textlink="">
          <xdr:nvSpPr>
            <xdr:cNvPr id="0" name=""/>
            <xdr:cNvSpPr>
              <a:spLocks noTextEdit="1"/>
            </xdr:cNvSpPr>
          </xdr:nvSpPr>
          <xdr:spPr>
            <a:xfrm>
              <a:off x="8661400" y="54610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444500</xdr:colOff>
      <xdr:row>94</xdr:row>
      <xdr:rowOff>19050</xdr:rowOff>
    </xdr:from>
    <xdr:to>
      <xdr:col>9</xdr:col>
      <xdr:colOff>590550</xdr:colOff>
      <xdr:row>108</xdr:row>
      <xdr:rowOff>139700</xdr:rowOff>
    </xdr:to>
    <xdr:graphicFrame macro="">
      <xdr:nvGraphicFramePr>
        <xdr:cNvPr id="2" name="Chart 1">
          <a:extLst>
            <a:ext uri="{FF2B5EF4-FFF2-40B4-BE49-F238E27FC236}">
              <a16:creationId xmlns:a16="http://schemas.microsoft.com/office/drawing/2014/main" id="{05C97670-A43F-01A9-5CE3-0BD46DE948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184150</xdr:colOff>
      <xdr:row>93</xdr:row>
      <xdr:rowOff>31750</xdr:rowOff>
    </xdr:from>
    <xdr:to>
      <xdr:col>16</xdr:col>
      <xdr:colOff>184150</xdr:colOff>
      <xdr:row>106</xdr:row>
      <xdr:rowOff>161925</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E2ED23FA-F567-99B3-597B-04B8AD908FA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4662150" y="1715770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152400</xdr:colOff>
      <xdr:row>93</xdr:row>
      <xdr:rowOff>19050</xdr:rowOff>
    </xdr:from>
    <xdr:to>
      <xdr:col>13</xdr:col>
      <xdr:colOff>152400</xdr:colOff>
      <xdr:row>106</xdr:row>
      <xdr:rowOff>149225</xdr:rowOff>
    </xdr:to>
    <mc:AlternateContent xmlns:mc="http://schemas.openxmlformats.org/markup-compatibility/2006">
      <mc:Choice xmlns:a14="http://schemas.microsoft.com/office/drawing/2010/main" Requires="a14">
        <xdr:graphicFrame macro="">
          <xdr:nvGraphicFramePr>
            <xdr:cNvPr id="4" name="Rating 1">
              <a:extLst>
                <a:ext uri="{FF2B5EF4-FFF2-40B4-BE49-F238E27FC236}">
                  <a16:creationId xmlns:a16="http://schemas.microsoft.com/office/drawing/2014/main" id="{A73996E0-AC90-9444-28C1-0D975E341947}"/>
                </a:ext>
              </a:extLst>
            </xdr:cNvPr>
            <xdr:cNvGraphicFramePr/>
          </xdr:nvGraphicFramePr>
          <xdr:xfrm>
            <a:off x="0" y="0"/>
            <a:ext cx="0" cy="0"/>
          </xdr:xfrm>
          <a:graphic>
            <a:graphicData uri="http://schemas.microsoft.com/office/drawing/2010/slicer">
              <sle:slicer xmlns:sle="http://schemas.microsoft.com/office/drawing/2010/slicer" name="Rating 1"/>
            </a:graphicData>
          </a:graphic>
        </xdr:graphicFrame>
      </mc:Choice>
      <mc:Fallback>
        <xdr:sp macro="" textlink="">
          <xdr:nvSpPr>
            <xdr:cNvPr id="0" name=""/>
            <xdr:cNvSpPr>
              <a:spLocks noTextEdit="1"/>
            </xdr:cNvSpPr>
          </xdr:nvSpPr>
          <xdr:spPr>
            <a:xfrm>
              <a:off x="12801600" y="1714500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349250</xdr:colOff>
      <xdr:row>1</xdr:row>
      <xdr:rowOff>171450</xdr:rowOff>
    </xdr:from>
    <xdr:to>
      <xdr:col>11</xdr:col>
      <xdr:colOff>44450</xdr:colOff>
      <xdr:row>16</xdr:row>
      <xdr:rowOff>152400</xdr:rowOff>
    </xdr:to>
    <xdr:graphicFrame macro="">
      <xdr:nvGraphicFramePr>
        <xdr:cNvPr id="5" name="Chart 4">
          <a:extLst>
            <a:ext uri="{FF2B5EF4-FFF2-40B4-BE49-F238E27FC236}">
              <a16:creationId xmlns:a16="http://schemas.microsoft.com/office/drawing/2014/main" id="{8B0201C3-7374-A55F-E8B7-6FA33CB3D9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260350</xdr:colOff>
      <xdr:row>3</xdr:row>
      <xdr:rowOff>101600</xdr:rowOff>
    </xdr:from>
    <xdr:to>
      <xdr:col>17</xdr:col>
      <xdr:colOff>260350</xdr:colOff>
      <xdr:row>17</xdr:row>
      <xdr:rowOff>47625</xdr:rowOff>
    </xdr:to>
    <mc:AlternateContent xmlns:mc="http://schemas.openxmlformats.org/markup-compatibility/2006">
      <mc:Choice xmlns:a14="http://schemas.microsoft.com/office/drawing/2010/main" Requires="a14">
        <xdr:graphicFrame macro="">
          <xdr:nvGraphicFramePr>
            <xdr:cNvPr id="6" name="Product 1">
              <a:extLst>
                <a:ext uri="{FF2B5EF4-FFF2-40B4-BE49-F238E27FC236}">
                  <a16:creationId xmlns:a16="http://schemas.microsoft.com/office/drawing/2014/main" id="{E518DAF5-2F43-5A69-AE48-D3714EB0D84C}"/>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15347950" y="65405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184150</xdr:colOff>
      <xdr:row>3</xdr:row>
      <xdr:rowOff>76200</xdr:rowOff>
    </xdr:from>
    <xdr:to>
      <xdr:col>14</xdr:col>
      <xdr:colOff>184150</xdr:colOff>
      <xdr:row>17</xdr:row>
      <xdr:rowOff>22225</xdr:rowOff>
    </xdr:to>
    <mc:AlternateContent xmlns:mc="http://schemas.openxmlformats.org/markup-compatibility/2006">
      <mc:Choice xmlns:a14="http://schemas.microsoft.com/office/drawing/2010/main" Requires="a14">
        <xdr:graphicFrame macro="">
          <xdr:nvGraphicFramePr>
            <xdr:cNvPr id="7" name="Rating 2">
              <a:extLst>
                <a:ext uri="{FF2B5EF4-FFF2-40B4-BE49-F238E27FC236}">
                  <a16:creationId xmlns:a16="http://schemas.microsoft.com/office/drawing/2014/main" id="{EF1E896E-518D-407B-2D2F-CE0956EA6C62}"/>
                </a:ext>
              </a:extLst>
            </xdr:cNvPr>
            <xdr:cNvGraphicFramePr/>
          </xdr:nvGraphicFramePr>
          <xdr:xfrm>
            <a:off x="0" y="0"/>
            <a:ext cx="0" cy="0"/>
          </xdr:xfrm>
          <a:graphic>
            <a:graphicData uri="http://schemas.microsoft.com/office/drawing/2010/slicer">
              <sle:slicer xmlns:sle="http://schemas.microsoft.com/office/drawing/2010/slicer" name="Rating 2"/>
            </a:graphicData>
          </a:graphic>
        </xdr:graphicFrame>
      </mc:Choice>
      <mc:Fallback>
        <xdr:sp macro="" textlink="">
          <xdr:nvSpPr>
            <xdr:cNvPr id="0" name=""/>
            <xdr:cNvSpPr>
              <a:spLocks noTextEdit="1"/>
            </xdr:cNvSpPr>
          </xdr:nvSpPr>
          <xdr:spPr>
            <a:xfrm>
              <a:off x="13442950" y="62865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1</xdr:col>
      <xdr:colOff>488950</xdr:colOff>
      <xdr:row>1</xdr:row>
      <xdr:rowOff>177800</xdr:rowOff>
    </xdr:from>
    <xdr:to>
      <xdr:col>8</xdr:col>
      <xdr:colOff>387350</xdr:colOff>
      <xdr:row>16</xdr:row>
      <xdr:rowOff>158750</xdr:rowOff>
    </xdr:to>
    <xdr:graphicFrame macro="">
      <xdr:nvGraphicFramePr>
        <xdr:cNvPr id="3" name="Chart 2">
          <a:extLst>
            <a:ext uri="{FF2B5EF4-FFF2-40B4-BE49-F238E27FC236}">
              <a16:creationId xmlns:a16="http://schemas.microsoft.com/office/drawing/2014/main" id="{436A183B-55B8-360A-D6EF-59F45C762F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552450</xdr:colOff>
      <xdr:row>1</xdr:row>
      <xdr:rowOff>76200</xdr:rowOff>
    </xdr:from>
    <xdr:to>
      <xdr:col>11</xdr:col>
      <xdr:colOff>552450</xdr:colOff>
      <xdr:row>15</xdr:row>
      <xdr:rowOff>22225</xdr:rowOff>
    </xdr:to>
    <mc:AlternateContent xmlns:mc="http://schemas.openxmlformats.org/markup-compatibility/2006">
      <mc:Choice xmlns:a14="http://schemas.microsoft.com/office/drawing/2010/main" Requires="a14">
        <xdr:graphicFrame macro="">
          <xdr:nvGraphicFramePr>
            <xdr:cNvPr id="4" name="Discount 1">
              <a:extLst>
                <a:ext uri="{FF2B5EF4-FFF2-40B4-BE49-F238E27FC236}">
                  <a16:creationId xmlns:a16="http://schemas.microsoft.com/office/drawing/2014/main" id="{E8ED0549-62B1-2D9A-3E8C-3671888A94A2}"/>
                </a:ext>
              </a:extLst>
            </xdr:cNvPr>
            <xdr:cNvGraphicFramePr/>
          </xdr:nvGraphicFramePr>
          <xdr:xfrm>
            <a:off x="0" y="0"/>
            <a:ext cx="0" cy="0"/>
          </xdr:xfrm>
          <a:graphic>
            <a:graphicData uri="http://schemas.microsoft.com/office/drawing/2010/slicer">
              <sle:slicer xmlns:sle="http://schemas.microsoft.com/office/drawing/2010/slicer" name="Discount 1"/>
            </a:graphicData>
          </a:graphic>
        </xdr:graphicFrame>
      </mc:Choice>
      <mc:Fallback>
        <xdr:sp macro="" textlink="">
          <xdr:nvSpPr>
            <xdr:cNvPr id="0" name=""/>
            <xdr:cNvSpPr>
              <a:spLocks noTextEdit="1"/>
            </xdr:cNvSpPr>
          </xdr:nvSpPr>
          <xdr:spPr>
            <a:xfrm>
              <a:off x="6464300" y="26035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69850</xdr:colOff>
      <xdr:row>1</xdr:row>
      <xdr:rowOff>139700</xdr:rowOff>
    </xdr:from>
    <xdr:to>
      <xdr:col>15</xdr:col>
      <xdr:colOff>69850</xdr:colOff>
      <xdr:row>15</xdr:row>
      <xdr:rowOff>85725</xdr:rowOff>
    </xdr:to>
    <mc:AlternateContent xmlns:mc="http://schemas.openxmlformats.org/markup-compatibility/2006">
      <mc:Choice xmlns:a14="http://schemas.microsoft.com/office/drawing/2010/main" Requires="a14">
        <xdr:graphicFrame macro="">
          <xdr:nvGraphicFramePr>
            <xdr:cNvPr id="5" name="Review 2">
              <a:extLst>
                <a:ext uri="{FF2B5EF4-FFF2-40B4-BE49-F238E27FC236}">
                  <a16:creationId xmlns:a16="http://schemas.microsoft.com/office/drawing/2014/main" id="{5933AC46-B77B-4706-AABC-17EA6AE378C1}"/>
                </a:ext>
              </a:extLst>
            </xdr:cNvPr>
            <xdr:cNvGraphicFramePr/>
          </xdr:nvGraphicFramePr>
          <xdr:xfrm>
            <a:off x="0" y="0"/>
            <a:ext cx="0" cy="0"/>
          </xdr:xfrm>
          <a:graphic>
            <a:graphicData uri="http://schemas.microsoft.com/office/drawing/2010/slicer">
              <sle:slicer xmlns:sle="http://schemas.microsoft.com/office/drawing/2010/slicer" name="Review 2"/>
            </a:graphicData>
          </a:graphic>
        </xdr:graphicFrame>
      </mc:Choice>
      <mc:Fallback>
        <xdr:sp macro="" textlink="">
          <xdr:nvSpPr>
            <xdr:cNvPr id="0" name=""/>
            <xdr:cNvSpPr>
              <a:spLocks noTextEdit="1"/>
            </xdr:cNvSpPr>
          </xdr:nvSpPr>
          <xdr:spPr>
            <a:xfrm>
              <a:off x="8420100" y="32385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5</xdr:col>
      <xdr:colOff>361950</xdr:colOff>
      <xdr:row>2</xdr:row>
      <xdr:rowOff>50800</xdr:rowOff>
    </xdr:from>
    <xdr:to>
      <xdr:col>11</xdr:col>
      <xdr:colOff>552450</xdr:colOff>
      <xdr:row>3</xdr:row>
      <xdr:rowOff>133350</xdr:rowOff>
    </xdr:to>
    <xdr:sp macro="" textlink="">
      <xdr:nvSpPr>
        <xdr:cNvPr id="2" name="Rectangle: Rounded Corners 1">
          <a:extLst>
            <a:ext uri="{FF2B5EF4-FFF2-40B4-BE49-F238E27FC236}">
              <a16:creationId xmlns:a16="http://schemas.microsoft.com/office/drawing/2014/main" id="{DB71DAAD-66A8-6296-74F1-C85F95F20509}"/>
            </a:ext>
          </a:extLst>
        </xdr:cNvPr>
        <xdr:cNvSpPr/>
      </xdr:nvSpPr>
      <xdr:spPr>
        <a:xfrm>
          <a:off x="3409950" y="419100"/>
          <a:ext cx="3848100" cy="266700"/>
        </a:xfrm>
        <a:prstGeom prst="roundRect">
          <a:avLst/>
        </a:prstGeom>
        <a:ln/>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r>
            <a:rPr lang="en-US" sz="1100"/>
            <a:t>Product</a:t>
          </a:r>
          <a:r>
            <a:rPr lang="en-US" sz="1100" baseline="0"/>
            <a:t> Data Flow</a:t>
          </a:r>
        </a:p>
        <a:p>
          <a:pPr algn="l"/>
          <a:endParaRPr lang="en-KE" sz="1100"/>
        </a:p>
      </xdr:txBody>
    </xdr:sp>
    <xdr:clientData/>
  </xdr:twoCellAnchor>
  <xdr:twoCellAnchor>
    <xdr:from>
      <xdr:col>2</xdr:col>
      <xdr:colOff>152400</xdr:colOff>
      <xdr:row>4</xdr:row>
      <xdr:rowOff>146050</xdr:rowOff>
    </xdr:from>
    <xdr:to>
      <xdr:col>5</xdr:col>
      <xdr:colOff>127000</xdr:colOff>
      <xdr:row>7</xdr:row>
      <xdr:rowOff>171450</xdr:rowOff>
    </xdr:to>
    <xdr:sp macro="" textlink="">
      <xdr:nvSpPr>
        <xdr:cNvPr id="3" name="Rectangle: Rounded Corners 2">
          <a:extLst>
            <a:ext uri="{FF2B5EF4-FFF2-40B4-BE49-F238E27FC236}">
              <a16:creationId xmlns:a16="http://schemas.microsoft.com/office/drawing/2014/main" id="{71DABE21-773A-8EFA-FCCE-85A37A0451E7}"/>
            </a:ext>
          </a:extLst>
        </xdr:cNvPr>
        <xdr:cNvSpPr/>
      </xdr:nvSpPr>
      <xdr:spPr>
        <a:xfrm>
          <a:off x="1371600" y="882650"/>
          <a:ext cx="1803400" cy="577850"/>
        </a:xfrm>
        <a:prstGeom prst="roundRect">
          <a:avLst>
            <a:gd name="adj" fmla="val 2757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KE" sz="1100" b="1" i="0" u="none" strike="noStrike">
              <a:solidFill>
                <a:schemeClr val="lt1"/>
              </a:solidFill>
              <a:effectLst/>
              <a:latin typeface="+mn-lt"/>
              <a:ea typeface="+mn-ea"/>
              <a:cs typeface="+mn-cs"/>
            </a:rPr>
            <a:t>109</a:t>
          </a:r>
          <a:r>
            <a:rPr lang="en-KE">
              <a:effectLst/>
            </a:rPr>
            <a:t> </a:t>
          </a:r>
          <a:r>
            <a:rPr lang="en-US">
              <a:effectLst/>
            </a:rPr>
            <a:t>;Product</a:t>
          </a:r>
          <a:r>
            <a:rPr lang="en-US" baseline="0">
              <a:effectLst/>
            </a:rPr>
            <a:t> Count</a:t>
          </a:r>
          <a:endParaRPr lang="en-KE" sz="1100"/>
        </a:p>
      </xdr:txBody>
    </xdr:sp>
    <xdr:clientData/>
  </xdr:twoCellAnchor>
  <xdr:twoCellAnchor>
    <xdr:from>
      <xdr:col>5</xdr:col>
      <xdr:colOff>247650</xdr:colOff>
      <xdr:row>4</xdr:row>
      <xdr:rowOff>158750</xdr:rowOff>
    </xdr:from>
    <xdr:to>
      <xdr:col>8</xdr:col>
      <xdr:colOff>254000</xdr:colOff>
      <xdr:row>7</xdr:row>
      <xdr:rowOff>165100</xdr:rowOff>
    </xdr:to>
    <xdr:sp macro="" textlink="">
      <xdr:nvSpPr>
        <xdr:cNvPr id="4" name="Rectangle: Rounded Corners 3">
          <a:extLst>
            <a:ext uri="{FF2B5EF4-FFF2-40B4-BE49-F238E27FC236}">
              <a16:creationId xmlns:a16="http://schemas.microsoft.com/office/drawing/2014/main" id="{AEF20F83-F380-E659-0E34-2E9685243152}"/>
            </a:ext>
          </a:extLst>
        </xdr:cNvPr>
        <xdr:cNvSpPr/>
      </xdr:nvSpPr>
      <xdr:spPr>
        <a:xfrm>
          <a:off x="3295650" y="895350"/>
          <a:ext cx="1835150" cy="558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KE" sz="1100" b="1" i="0" u="none" strike="noStrike">
              <a:solidFill>
                <a:schemeClr val="lt1"/>
              </a:solidFill>
              <a:effectLst/>
              <a:latin typeface="+mn-lt"/>
              <a:ea typeface="+mn-ea"/>
              <a:cs typeface="+mn-cs"/>
            </a:rPr>
            <a:t>3.856896552</a:t>
          </a:r>
          <a:r>
            <a:rPr lang="en-KE">
              <a:effectLst/>
            </a:rPr>
            <a:t> </a:t>
          </a:r>
          <a:r>
            <a:rPr lang="en-US">
              <a:effectLst/>
            </a:rPr>
            <a:t>:Average Rating</a:t>
          </a:r>
          <a:endParaRPr lang="en-KE" sz="1100"/>
        </a:p>
      </xdr:txBody>
    </xdr:sp>
    <xdr:clientData/>
  </xdr:twoCellAnchor>
  <xdr:twoCellAnchor>
    <xdr:from>
      <xdr:col>8</xdr:col>
      <xdr:colOff>387350</xdr:colOff>
      <xdr:row>4</xdr:row>
      <xdr:rowOff>171450</xdr:rowOff>
    </xdr:from>
    <xdr:to>
      <xdr:col>11</xdr:col>
      <xdr:colOff>539750</xdr:colOff>
      <xdr:row>8</xdr:row>
      <xdr:rowOff>12700</xdr:rowOff>
    </xdr:to>
    <xdr:sp macro="" textlink="">
      <xdr:nvSpPr>
        <xdr:cNvPr id="6" name="Rectangle: Rounded Corners 5">
          <a:extLst>
            <a:ext uri="{FF2B5EF4-FFF2-40B4-BE49-F238E27FC236}">
              <a16:creationId xmlns:a16="http://schemas.microsoft.com/office/drawing/2014/main" id="{6949541C-DE7A-411E-1011-DC46692F53E7}"/>
            </a:ext>
          </a:extLst>
        </xdr:cNvPr>
        <xdr:cNvSpPr/>
      </xdr:nvSpPr>
      <xdr:spPr>
        <a:xfrm>
          <a:off x="5264150" y="908050"/>
          <a:ext cx="1981200" cy="5778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KE" sz="1100" b="0" i="0" u="none" strike="noStrike">
              <a:solidFill>
                <a:schemeClr val="lt1"/>
              </a:solidFill>
              <a:effectLst/>
              <a:latin typeface="+mn-lt"/>
              <a:ea typeface="+mn-ea"/>
              <a:cs typeface="+mn-cs"/>
            </a:rPr>
            <a:t>0.363853211</a:t>
          </a:r>
          <a:r>
            <a:rPr lang="en-KE">
              <a:effectLst/>
            </a:rPr>
            <a:t> </a:t>
          </a:r>
          <a:r>
            <a:rPr lang="en-US">
              <a:effectLst/>
            </a:rPr>
            <a:t>:</a:t>
          </a:r>
          <a:r>
            <a:rPr lang="en-KE" sz="1100" b="0" i="0" u="none" strike="noStrike">
              <a:solidFill>
                <a:schemeClr val="lt1"/>
              </a:solidFill>
              <a:effectLst/>
              <a:latin typeface="+mn-lt"/>
              <a:ea typeface="+mn-ea"/>
              <a:cs typeface="+mn-cs"/>
            </a:rPr>
            <a:t>109</a:t>
          </a:r>
          <a:r>
            <a:rPr lang="en-KE">
              <a:effectLst/>
            </a:rPr>
            <a:t> </a:t>
          </a:r>
          <a:r>
            <a:rPr lang="en-US">
              <a:effectLst/>
            </a:rPr>
            <a:t>= Avg Disc% &amp;</a:t>
          </a:r>
          <a:r>
            <a:rPr lang="en-US" baseline="0">
              <a:effectLst/>
            </a:rPr>
            <a:t> Count of Review</a:t>
          </a:r>
          <a:endParaRPr lang="en-KE" sz="1100"/>
        </a:p>
      </xdr:txBody>
    </xdr:sp>
    <xdr:clientData/>
  </xdr:twoCellAnchor>
  <xdr:twoCellAnchor>
    <xdr:from>
      <xdr:col>1</xdr:col>
      <xdr:colOff>425450</xdr:colOff>
      <xdr:row>8</xdr:row>
      <xdr:rowOff>146050</xdr:rowOff>
    </xdr:from>
    <xdr:to>
      <xdr:col>5</xdr:col>
      <xdr:colOff>209550</xdr:colOff>
      <xdr:row>22</xdr:row>
      <xdr:rowOff>127000</xdr:rowOff>
    </xdr:to>
    <xdr:graphicFrame macro="">
      <xdr:nvGraphicFramePr>
        <xdr:cNvPr id="7" name="Chart 6">
          <a:extLst>
            <a:ext uri="{FF2B5EF4-FFF2-40B4-BE49-F238E27FC236}">
              <a16:creationId xmlns:a16="http://schemas.microsoft.com/office/drawing/2014/main" id="{DD308B70-BCA3-4919-A22A-005042F845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323850</xdr:colOff>
      <xdr:row>8</xdr:row>
      <xdr:rowOff>133350</xdr:rowOff>
    </xdr:from>
    <xdr:to>
      <xdr:col>8</xdr:col>
      <xdr:colOff>203200</xdr:colOff>
      <xdr:row>22</xdr:row>
      <xdr:rowOff>120650</xdr:rowOff>
    </xdr:to>
    <xdr:graphicFrame macro="">
      <xdr:nvGraphicFramePr>
        <xdr:cNvPr id="8" name="Chart 7">
          <a:extLst>
            <a:ext uri="{FF2B5EF4-FFF2-40B4-BE49-F238E27FC236}">
              <a16:creationId xmlns:a16="http://schemas.microsoft.com/office/drawing/2014/main" id="{8CB834FC-9B3F-4944-A346-659A367293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374650</xdr:colOff>
      <xdr:row>8</xdr:row>
      <xdr:rowOff>152400</xdr:rowOff>
    </xdr:from>
    <xdr:to>
      <xdr:col>12</xdr:col>
      <xdr:colOff>82550</xdr:colOff>
      <xdr:row>22</xdr:row>
      <xdr:rowOff>146050</xdr:rowOff>
    </xdr:to>
    <xdr:graphicFrame macro="">
      <xdr:nvGraphicFramePr>
        <xdr:cNvPr id="9" name="Chart 8">
          <a:extLst>
            <a:ext uri="{FF2B5EF4-FFF2-40B4-BE49-F238E27FC236}">
              <a16:creationId xmlns:a16="http://schemas.microsoft.com/office/drawing/2014/main" id="{1DFE78AC-3CC6-4772-B08C-2E3498F694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247650</xdr:colOff>
      <xdr:row>23</xdr:row>
      <xdr:rowOff>76200</xdr:rowOff>
    </xdr:from>
    <xdr:to>
      <xdr:col>11</xdr:col>
      <xdr:colOff>323850</xdr:colOff>
      <xdr:row>37</xdr:row>
      <xdr:rowOff>101600</xdr:rowOff>
    </xdr:to>
    <mc:AlternateContent xmlns:mc="http://schemas.openxmlformats.org/markup-compatibility/2006">
      <mc:Choice xmlns:a14="http://schemas.microsoft.com/office/drawing/2010/main" Requires="a14">
        <xdr:graphicFrame macro="">
          <xdr:nvGraphicFramePr>
            <xdr:cNvPr id="10" name="Discount 3">
              <a:extLst>
                <a:ext uri="{FF2B5EF4-FFF2-40B4-BE49-F238E27FC236}">
                  <a16:creationId xmlns:a16="http://schemas.microsoft.com/office/drawing/2014/main" id="{B89F7F6E-3FD1-4CE7-92AB-E1FB63763CB0}"/>
                </a:ext>
              </a:extLst>
            </xdr:cNvPr>
            <xdr:cNvGraphicFramePr/>
          </xdr:nvGraphicFramePr>
          <xdr:xfrm>
            <a:off x="0" y="0"/>
            <a:ext cx="0" cy="0"/>
          </xdr:xfrm>
          <a:graphic>
            <a:graphicData uri="http://schemas.microsoft.com/office/drawing/2010/slicer">
              <sle:slicer xmlns:sle="http://schemas.microsoft.com/office/drawing/2010/slicer" name="Discount 3"/>
            </a:graphicData>
          </a:graphic>
        </xdr:graphicFrame>
      </mc:Choice>
      <mc:Fallback>
        <xdr:sp macro="" textlink="">
          <xdr:nvSpPr>
            <xdr:cNvPr id="0" name=""/>
            <xdr:cNvSpPr>
              <a:spLocks noTextEdit="1"/>
            </xdr:cNvSpPr>
          </xdr:nvSpPr>
          <xdr:spPr>
            <a:xfrm>
              <a:off x="5734050" y="4311650"/>
              <a:ext cx="1295400" cy="26035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482600</xdr:colOff>
      <xdr:row>24</xdr:row>
      <xdr:rowOff>38100</xdr:rowOff>
    </xdr:from>
    <xdr:to>
      <xdr:col>4</xdr:col>
      <xdr:colOff>482600</xdr:colOff>
      <xdr:row>37</xdr:row>
      <xdr:rowOff>168275</xdr:rowOff>
    </xdr:to>
    <mc:AlternateContent xmlns:mc="http://schemas.openxmlformats.org/markup-compatibility/2006">
      <mc:Choice xmlns:a14="http://schemas.microsoft.com/office/drawing/2010/main" Requires="a14">
        <xdr:graphicFrame macro="">
          <xdr:nvGraphicFramePr>
            <xdr:cNvPr id="11" name="Product 3">
              <a:extLst>
                <a:ext uri="{FF2B5EF4-FFF2-40B4-BE49-F238E27FC236}">
                  <a16:creationId xmlns:a16="http://schemas.microsoft.com/office/drawing/2014/main" id="{79C6F182-D385-4369-B4FD-48CB7183B217}"/>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dr:sp macro="" textlink="">
          <xdr:nvSpPr>
            <xdr:cNvPr id="0" name=""/>
            <xdr:cNvSpPr>
              <a:spLocks noTextEdit="1"/>
            </xdr:cNvSpPr>
          </xdr:nvSpPr>
          <xdr:spPr>
            <a:xfrm>
              <a:off x="1092200" y="445770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476250</xdr:colOff>
      <xdr:row>23</xdr:row>
      <xdr:rowOff>139700</xdr:rowOff>
    </xdr:from>
    <xdr:to>
      <xdr:col>8</xdr:col>
      <xdr:colOff>476250</xdr:colOff>
      <xdr:row>37</xdr:row>
      <xdr:rowOff>85725</xdr:rowOff>
    </xdr:to>
    <mc:AlternateContent xmlns:mc="http://schemas.openxmlformats.org/markup-compatibility/2006">
      <mc:Choice xmlns:a14="http://schemas.microsoft.com/office/drawing/2010/main" Requires="a14">
        <xdr:graphicFrame macro="">
          <xdr:nvGraphicFramePr>
            <xdr:cNvPr id="12" name="Rating 4">
              <a:extLst>
                <a:ext uri="{FF2B5EF4-FFF2-40B4-BE49-F238E27FC236}">
                  <a16:creationId xmlns:a16="http://schemas.microsoft.com/office/drawing/2014/main" id="{784C2EE6-DB5C-4C49-A3E7-5CC7B03028AF}"/>
                </a:ext>
              </a:extLst>
            </xdr:cNvPr>
            <xdr:cNvGraphicFramePr/>
          </xdr:nvGraphicFramePr>
          <xdr:xfrm>
            <a:off x="0" y="0"/>
            <a:ext cx="0" cy="0"/>
          </xdr:xfrm>
          <a:graphic>
            <a:graphicData uri="http://schemas.microsoft.com/office/drawing/2010/slicer">
              <sle:slicer xmlns:sle="http://schemas.microsoft.com/office/drawing/2010/slicer" name="Rating 4"/>
            </a:graphicData>
          </a:graphic>
        </xdr:graphicFrame>
      </mc:Choice>
      <mc:Fallback>
        <xdr:sp macro="" textlink="">
          <xdr:nvSpPr>
            <xdr:cNvPr id="0" name=""/>
            <xdr:cNvSpPr>
              <a:spLocks noTextEdit="1"/>
            </xdr:cNvSpPr>
          </xdr:nvSpPr>
          <xdr:spPr>
            <a:xfrm>
              <a:off x="3524250" y="437515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ckliff Odoyo" refreshedDate="46049.42713611111" createdVersion="8" refreshedVersion="8" minRefreshableVersion="3" recordCount="111" xr:uid="{1ED3EEE8-1CC8-4B94-BBCD-A4403CD1C631}">
  <cacheSource type="worksheet">
    <worksheetSource ref="A1:I1048576" sheet="Excel_jumia"/>
  </cacheSource>
  <cacheFields count="9">
    <cacheField name="Product" numFmtId="0">
      <sharedItems containsBlank="1" count="110">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m/>
      </sharedItems>
    </cacheField>
    <cacheField name="Current price" numFmtId="164">
      <sharedItems containsString="0" containsBlank="1" containsNumber="1" minValue="38" maxValue="3750"/>
    </cacheField>
    <cacheField name="old price" numFmtId="164">
      <sharedItems containsString="0" containsBlank="1" containsNumber="1" minValue="80" maxValue="6143"/>
    </cacheField>
    <cacheField name="Discount" numFmtId="0">
      <sharedItems containsString="0" containsBlank="1" containsNumber="1" minValue="0.01" maxValue="0.64" count="48">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n v="0.64"/>
        <n v="0.36385321100917423"/>
        <m/>
      </sharedItems>
    </cacheField>
    <cacheField name="Review" numFmtId="0">
      <sharedItems containsString="0" containsBlank="1" containsNumber="1" containsInteger="1" minValue="0" maxValue="69" count="25">
        <n v="2"/>
        <n v="14"/>
        <n v="24"/>
        <n v="7"/>
        <n v="5"/>
        <n v="15"/>
        <n v="55"/>
        <n v="12"/>
        <n v="39"/>
        <n v="6"/>
        <n v="9"/>
        <n v="3"/>
        <n v="44"/>
        <n v="13"/>
        <n v="0"/>
        <n v="49"/>
        <n v="20"/>
        <n v="32"/>
        <n v="1"/>
        <n v="36"/>
        <n v="10"/>
        <n v="69"/>
        <n v="16"/>
        <n v="17"/>
        <m/>
      </sharedItems>
    </cacheField>
    <cacheField name="Rating" numFmtId="0">
      <sharedItems containsBlank="1" containsMixedTypes="1" containsNumber="1" minValue="2" maxValue="5" count="24">
        <n v="4.5"/>
        <n v="4.0999999999999996"/>
        <n v="4.5999999999999996"/>
        <n v="4.7"/>
        <n v="4.8"/>
        <n v="4"/>
        <n v="3.8"/>
        <n v="4.2"/>
        <n v="5"/>
        <n v="3.3"/>
        <s v="Not provided"/>
        <n v="4.4000000000000004"/>
        <n v="4.3"/>
        <n v="2.5"/>
        <n v="3"/>
        <n v="2.1"/>
        <n v="2.8"/>
        <n v="2.7"/>
        <n v="2.9"/>
        <n v="2.2000000000000002"/>
        <n v="2.2999999999999998"/>
        <n v="2.6"/>
        <n v="2"/>
        <m/>
      </sharedItems>
    </cacheField>
    <cacheField name="Discount Category (ksh)" numFmtId="164">
      <sharedItems containsString="0" containsBlank="1" containsNumber="1" containsInteger="1" minValue="24" maxValue="2585"/>
    </cacheField>
    <cacheField name="Rating Category" numFmtId="0">
      <sharedItems containsBlank="1" count="5">
        <s v="Excellent"/>
        <s v="Average"/>
        <s v="N/A"/>
        <s v="Poor"/>
        <m/>
      </sharedItems>
    </cacheField>
    <cacheField name="Dscount Category" numFmtId="0">
      <sharedItems containsBlank="1" count="4">
        <s v="medium"/>
        <s v="high"/>
        <s v="low"/>
        <m/>
      </sharedItems>
    </cacheField>
  </cacheFields>
  <extLst>
    <ext xmlns:x14="http://schemas.microsoft.com/office/spreadsheetml/2009/9/main" uri="{725AE2AE-9491-48be-B2B4-4EB974FC3084}">
      <x14:pivotCacheDefinition pivotCacheId="182424735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ckliff Odoyo" refreshedDate="46052.566295138888" createdVersion="8" refreshedVersion="8" minRefreshableVersion="3" recordCount="110" xr:uid="{A3F79E97-ECA9-45C7-8C04-A031DE500C99}">
  <cacheSource type="worksheet">
    <worksheetSource ref="A1:I111" sheet="Excel_jumia"/>
  </cacheSource>
  <cacheFields count="9">
    <cacheField name="Product" numFmtId="0">
      <sharedItems containsBlank="1" count="110">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m/>
      </sharedItems>
    </cacheField>
    <cacheField name="Current price" numFmtId="164">
      <sharedItems containsSemiMixedTypes="0" containsString="0" containsNumber="1" minValue="38" maxValue="3750"/>
    </cacheField>
    <cacheField name="old price" numFmtId="164">
      <sharedItems containsSemiMixedTypes="0" containsString="0" containsNumber="1" minValue="80" maxValue="6143"/>
    </cacheField>
    <cacheField name="Discount" numFmtId="0">
      <sharedItems containsSemiMixedTypes="0" containsString="0" containsNumber="1" minValue="0.01" maxValue="0.64" count="47">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n v="0.64"/>
        <n v="0.36385321100917423"/>
      </sharedItems>
    </cacheField>
    <cacheField name="Review" numFmtId="0">
      <sharedItems containsString="0" containsBlank="1" containsNumber="1" containsInteger="1" minValue="0" maxValue="69" count="25">
        <n v="2"/>
        <n v="14"/>
        <n v="24"/>
        <n v="7"/>
        <n v="5"/>
        <n v="15"/>
        <n v="55"/>
        <n v="12"/>
        <n v="39"/>
        <n v="6"/>
        <n v="9"/>
        <n v="3"/>
        <n v="44"/>
        <n v="13"/>
        <n v="0"/>
        <n v="49"/>
        <n v="20"/>
        <n v="32"/>
        <n v="1"/>
        <n v="36"/>
        <n v="10"/>
        <n v="69"/>
        <n v="16"/>
        <n v="17"/>
        <m/>
      </sharedItems>
    </cacheField>
    <cacheField name="Rating" numFmtId="0">
      <sharedItems containsMixedTypes="1" containsNumber="1" minValue="2" maxValue="5" count="23">
        <n v="4.5"/>
        <n v="4.0999999999999996"/>
        <n v="4.5999999999999996"/>
        <n v="4.7"/>
        <n v="4.8"/>
        <n v="4"/>
        <n v="3.8"/>
        <n v="4.2"/>
        <n v="5"/>
        <n v="3.3"/>
        <s v="Not provided"/>
        <n v="4.4000000000000004"/>
        <n v="4.3"/>
        <n v="2.5"/>
        <n v="3"/>
        <n v="2.1"/>
        <n v="2.8"/>
        <n v="2.7"/>
        <n v="2.9"/>
        <n v="2.2000000000000002"/>
        <n v="2.2999999999999998"/>
        <n v="2.6"/>
        <n v="2"/>
      </sharedItems>
    </cacheField>
    <cacheField name="Discount Category (ksh)" numFmtId="164">
      <sharedItems containsString="0" containsBlank="1" containsNumber="1" containsInteger="1" minValue="24" maxValue="2585" count="101">
        <n v="575"/>
        <n v="472"/>
        <n v="724"/>
        <n v="919"/>
        <n v="616"/>
        <n v="291"/>
        <n v="713"/>
        <n v="592"/>
        <n v="1526"/>
        <n v="1329"/>
        <n v="200"/>
        <n v="510"/>
        <n v="483"/>
        <n v="359"/>
        <n v="819"/>
        <n v="352"/>
        <n v="165"/>
        <n v="1946"/>
        <n v="700"/>
        <n v="968"/>
        <n v="42"/>
        <n v="1360"/>
        <n v="470"/>
        <n v="500"/>
        <n v="2452"/>
        <n v="227"/>
        <n v="640"/>
        <n v="741"/>
        <n v="1880"/>
        <n v="197"/>
        <n v="1670"/>
        <n v="710"/>
        <n v="719"/>
        <n v="1070"/>
        <n v="189"/>
        <n v="267"/>
        <n v="900"/>
        <n v="1721"/>
        <n v="456"/>
        <n v="238"/>
        <n v="450"/>
        <n v="37"/>
        <n v="1001"/>
        <n v="595"/>
        <n v="645"/>
        <n v="750"/>
        <n v="305"/>
        <n v="301"/>
        <n v="39"/>
        <n v="85"/>
        <n v="40"/>
        <n v="544"/>
        <n v="401"/>
        <n v="644"/>
        <n v="768"/>
        <n v="1011"/>
        <n v="330"/>
        <n v="528"/>
        <n v="2585"/>
        <n v="428"/>
        <n v="355"/>
        <n v="335"/>
        <n v="824"/>
        <n v="1000"/>
        <n v="2393"/>
        <n v="318"/>
        <n v="940"/>
        <n v="257"/>
        <n v="390"/>
        <n v="846"/>
        <n v="1418"/>
        <n v="695"/>
        <n v="67"/>
        <n v="220"/>
        <n v="1010"/>
        <n v="941"/>
        <n v="830"/>
        <n v="33"/>
        <n v="317"/>
        <n v="233"/>
        <n v="263"/>
        <n v="101"/>
        <n v="231"/>
        <n v="850"/>
        <n v="1200"/>
        <n v="95"/>
        <n v="800"/>
        <n v="134"/>
        <n v="153"/>
        <n v="504"/>
        <n v="794"/>
        <n v="948"/>
        <n v="24"/>
        <n v="62"/>
        <n v="587"/>
        <n v="620"/>
        <n v="41"/>
        <n v="31"/>
        <n v="354"/>
        <n v="151"/>
        <m/>
      </sharedItems>
    </cacheField>
    <cacheField name="Rating Category" numFmtId="0">
      <sharedItems containsBlank="1"/>
    </cacheField>
    <cacheField name="Dscount Category" numFmtId="0">
      <sharedItems containsBlank="1" count="4">
        <s v="medium"/>
        <s v="high"/>
        <s v="low"/>
        <m/>
      </sharedItems>
    </cacheField>
  </cacheFields>
  <extLst>
    <ext xmlns:x14="http://schemas.microsoft.com/office/spreadsheetml/2009/9/main" uri="{725AE2AE-9491-48be-B2B4-4EB974FC3084}">
      <x14:pivotCacheDefinition pivotCacheId="6126259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1">
  <r>
    <x v="0"/>
    <n v="950"/>
    <n v="1525"/>
    <x v="0"/>
    <x v="0"/>
    <x v="0"/>
    <n v="575"/>
    <x v="0"/>
    <x v="0"/>
  </r>
  <r>
    <x v="1"/>
    <n v="527"/>
    <n v="999"/>
    <x v="1"/>
    <x v="1"/>
    <x v="1"/>
    <n v="472"/>
    <x v="1"/>
    <x v="1"/>
  </r>
  <r>
    <x v="2"/>
    <n v="2199"/>
    <n v="2923"/>
    <x v="2"/>
    <x v="2"/>
    <x v="2"/>
    <n v="724"/>
    <x v="0"/>
    <x v="0"/>
  </r>
  <r>
    <x v="3"/>
    <n v="1580"/>
    <n v="2499"/>
    <x v="3"/>
    <x v="3"/>
    <x v="3"/>
    <n v="919"/>
    <x v="0"/>
    <x v="0"/>
  </r>
  <r>
    <x v="4"/>
    <n v="1740"/>
    <n v="2356"/>
    <x v="4"/>
    <x v="4"/>
    <x v="4"/>
    <n v="616"/>
    <x v="0"/>
    <x v="0"/>
  </r>
  <r>
    <x v="5"/>
    <n v="2999"/>
    <n v="3290"/>
    <x v="5"/>
    <x v="5"/>
    <x v="5"/>
    <n v="291"/>
    <x v="1"/>
    <x v="2"/>
  </r>
  <r>
    <x v="6"/>
    <n v="2319"/>
    <n v="3032"/>
    <x v="6"/>
    <x v="6"/>
    <x v="2"/>
    <n v="713"/>
    <x v="0"/>
    <x v="0"/>
  </r>
  <r>
    <x v="7"/>
    <n v="988"/>
    <n v="1580"/>
    <x v="3"/>
    <x v="0"/>
    <x v="5"/>
    <n v="592"/>
    <x v="1"/>
    <x v="0"/>
  </r>
  <r>
    <x v="8"/>
    <n v="1274"/>
    <n v="2800"/>
    <x v="7"/>
    <x v="4"/>
    <x v="4"/>
    <n v="1526"/>
    <x v="0"/>
    <x v="1"/>
  </r>
  <r>
    <x v="9"/>
    <n v="1600"/>
    <n v="2929"/>
    <x v="8"/>
    <x v="4"/>
    <x v="6"/>
    <n v="1329"/>
    <x v="1"/>
    <x v="1"/>
  </r>
  <r>
    <x v="10"/>
    <n v="799"/>
    <n v="999"/>
    <x v="9"/>
    <x v="7"/>
    <x v="1"/>
    <n v="200"/>
    <x v="1"/>
    <x v="0"/>
  </r>
  <r>
    <x v="11"/>
    <n v="990"/>
    <n v="1500"/>
    <x v="10"/>
    <x v="8"/>
    <x v="3"/>
    <n v="510"/>
    <x v="0"/>
    <x v="0"/>
  </r>
  <r>
    <x v="12"/>
    <n v="552"/>
    <n v="1035"/>
    <x v="1"/>
    <x v="7"/>
    <x v="4"/>
    <n v="483"/>
    <x v="0"/>
    <x v="1"/>
  </r>
  <r>
    <x v="13"/>
    <n v="501"/>
    <n v="860"/>
    <x v="11"/>
    <x v="9"/>
    <x v="0"/>
    <n v="359"/>
    <x v="0"/>
    <x v="1"/>
  </r>
  <r>
    <x v="14"/>
    <n v="1680"/>
    <n v="2499"/>
    <x v="12"/>
    <x v="10"/>
    <x v="7"/>
    <n v="819"/>
    <x v="1"/>
    <x v="0"/>
  </r>
  <r>
    <x v="15"/>
    <n v="332"/>
    <n v="684"/>
    <x v="13"/>
    <x v="0"/>
    <x v="8"/>
    <n v="352"/>
    <x v="0"/>
    <x v="1"/>
  </r>
  <r>
    <x v="16"/>
    <n v="195"/>
    <n v="360"/>
    <x v="14"/>
    <x v="0"/>
    <x v="8"/>
    <n v="165"/>
    <x v="0"/>
    <x v="1"/>
  </r>
  <r>
    <x v="17"/>
    <n v="2025"/>
    <n v="3971"/>
    <x v="15"/>
    <x v="11"/>
    <x v="8"/>
    <n v="1946"/>
    <x v="0"/>
    <x v="1"/>
  </r>
  <r>
    <x v="18"/>
    <n v="2999"/>
    <n v="3699"/>
    <x v="16"/>
    <x v="4"/>
    <x v="2"/>
    <n v="700"/>
    <x v="0"/>
    <x v="2"/>
  </r>
  <r>
    <x v="19"/>
    <n v="998"/>
    <n v="1966"/>
    <x v="15"/>
    <x v="12"/>
    <x v="2"/>
    <n v="968"/>
    <x v="0"/>
    <x v="1"/>
  </r>
  <r>
    <x v="20"/>
    <n v="38"/>
    <n v="80"/>
    <x v="17"/>
    <x v="13"/>
    <x v="9"/>
    <n v="42"/>
    <x v="1"/>
    <x v="1"/>
  </r>
  <r>
    <x v="21"/>
    <n v="1860"/>
    <n v="3220"/>
    <x v="11"/>
    <x v="14"/>
    <x v="10"/>
    <n v="1360"/>
    <x v="2"/>
    <x v="1"/>
  </r>
  <r>
    <x v="22"/>
    <n v="880"/>
    <n v="1350"/>
    <x v="18"/>
    <x v="9"/>
    <x v="5"/>
    <n v="470"/>
    <x v="1"/>
    <x v="0"/>
  </r>
  <r>
    <x v="23"/>
    <n v="1650"/>
    <n v="2150"/>
    <x v="19"/>
    <x v="1"/>
    <x v="11"/>
    <n v="500"/>
    <x v="1"/>
    <x v="0"/>
  </r>
  <r>
    <x v="24"/>
    <n v="2048"/>
    <n v="4500"/>
    <x v="20"/>
    <x v="3"/>
    <x v="12"/>
    <n v="2452"/>
    <x v="1"/>
    <x v="1"/>
  </r>
  <r>
    <x v="25"/>
    <n v="420"/>
    <n v="647"/>
    <x v="18"/>
    <x v="15"/>
    <x v="2"/>
    <n v="227"/>
    <x v="0"/>
    <x v="0"/>
  </r>
  <r>
    <x v="26"/>
    <n v="2880"/>
    <n v="3520"/>
    <x v="21"/>
    <x v="7"/>
    <x v="6"/>
    <n v="640"/>
    <x v="1"/>
    <x v="2"/>
  </r>
  <r>
    <x v="27"/>
    <n v="1350"/>
    <n v="1990"/>
    <x v="22"/>
    <x v="13"/>
    <x v="6"/>
    <n v="640"/>
    <x v="1"/>
    <x v="0"/>
  </r>
  <r>
    <x v="28"/>
    <n v="1758"/>
    <n v="2499"/>
    <x v="23"/>
    <x v="16"/>
    <x v="1"/>
    <n v="741"/>
    <x v="1"/>
    <x v="0"/>
  </r>
  <r>
    <x v="29"/>
    <n v="2200"/>
    <n v="4080"/>
    <x v="14"/>
    <x v="14"/>
    <x v="10"/>
    <n v="1880"/>
    <x v="2"/>
    <x v="1"/>
  </r>
  <r>
    <x v="30"/>
    <n v="185"/>
    <n v="382"/>
    <x v="24"/>
    <x v="10"/>
    <x v="12"/>
    <n v="197"/>
    <x v="1"/>
    <x v="1"/>
  </r>
  <r>
    <x v="31"/>
    <n v="980"/>
    <n v="1490"/>
    <x v="10"/>
    <x v="7"/>
    <x v="3"/>
    <n v="510"/>
    <x v="0"/>
    <x v="0"/>
  </r>
  <r>
    <x v="32"/>
    <n v="1820"/>
    <n v="3490"/>
    <x v="25"/>
    <x v="10"/>
    <x v="12"/>
    <n v="1670"/>
    <x v="1"/>
    <x v="1"/>
  </r>
  <r>
    <x v="33"/>
    <n v="1940"/>
    <n v="2650"/>
    <x v="26"/>
    <x v="16"/>
    <x v="3"/>
    <n v="710"/>
    <x v="0"/>
    <x v="0"/>
  </r>
  <r>
    <x v="34"/>
    <n v="1980"/>
    <n v="2699"/>
    <x v="26"/>
    <x v="17"/>
    <x v="0"/>
    <n v="719"/>
    <x v="0"/>
    <x v="0"/>
  </r>
  <r>
    <x v="35"/>
    <n v="1620"/>
    <n v="2690"/>
    <x v="27"/>
    <x v="18"/>
    <x v="8"/>
    <n v="1070"/>
    <x v="0"/>
    <x v="0"/>
  </r>
  <r>
    <x v="36"/>
    <n v="171"/>
    <n v="360"/>
    <x v="17"/>
    <x v="0"/>
    <x v="8"/>
    <n v="189"/>
    <x v="0"/>
    <x v="1"/>
  </r>
  <r>
    <x v="37"/>
    <n v="389"/>
    <n v="656"/>
    <x v="28"/>
    <x v="19"/>
    <x v="12"/>
    <n v="267"/>
    <x v="1"/>
    <x v="1"/>
  </r>
  <r>
    <x v="38"/>
    <n v="1800"/>
    <n v="2700"/>
    <x v="0"/>
    <x v="0"/>
    <x v="0"/>
    <n v="900"/>
    <x v="0"/>
    <x v="0"/>
  </r>
  <r>
    <x v="39"/>
    <n v="2750"/>
    <n v="4471"/>
    <x v="0"/>
    <x v="14"/>
    <x v="10"/>
    <n v="1721"/>
    <x v="2"/>
    <x v="0"/>
  </r>
  <r>
    <x v="40"/>
    <n v="475"/>
    <n v="931"/>
    <x v="15"/>
    <x v="14"/>
    <x v="10"/>
    <n v="456"/>
    <x v="2"/>
    <x v="1"/>
  </r>
  <r>
    <x v="41"/>
    <n v="238"/>
    <n v="476"/>
    <x v="29"/>
    <x v="14"/>
    <x v="10"/>
    <n v="238"/>
    <x v="2"/>
    <x v="1"/>
  </r>
  <r>
    <x v="42"/>
    <n v="610"/>
    <n v="1060"/>
    <x v="11"/>
    <x v="14"/>
    <x v="10"/>
    <n v="450"/>
    <x v="2"/>
    <x v="1"/>
  </r>
  <r>
    <x v="43"/>
    <n v="2132"/>
    <n v="2169"/>
    <x v="30"/>
    <x v="14"/>
    <x v="10"/>
    <n v="37"/>
    <x v="2"/>
    <x v="2"/>
  </r>
  <r>
    <x v="44"/>
    <n v="999"/>
    <n v="2000"/>
    <x v="29"/>
    <x v="14"/>
    <x v="10"/>
    <n v="1001"/>
    <x v="2"/>
    <x v="1"/>
  </r>
  <r>
    <x v="45"/>
    <n v="1190"/>
    <n v="1785"/>
    <x v="12"/>
    <x v="14"/>
    <x v="10"/>
    <n v="595"/>
    <x v="2"/>
    <x v="0"/>
  </r>
  <r>
    <x v="46"/>
    <n v="671"/>
    <n v="1316"/>
    <x v="15"/>
    <x v="14"/>
    <x v="10"/>
    <n v="645"/>
    <x v="2"/>
    <x v="1"/>
  </r>
  <r>
    <x v="47"/>
    <n v="1200"/>
    <n v="1950"/>
    <x v="0"/>
    <x v="14"/>
    <x v="10"/>
    <n v="750"/>
    <x v="2"/>
    <x v="0"/>
  </r>
  <r>
    <x v="48"/>
    <n v="199"/>
    <n v="504"/>
    <x v="31"/>
    <x v="14"/>
    <x v="10"/>
    <n v="305"/>
    <x v="2"/>
    <x v="1"/>
  </r>
  <r>
    <x v="49"/>
    <n v="299"/>
    <n v="600"/>
    <x v="29"/>
    <x v="14"/>
    <x v="10"/>
    <n v="301"/>
    <x v="2"/>
    <x v="1"/>
  </r>
  <r>
    <x v="50"/>
    <n v="1660"/>
    <n v="1699"/>
    <x v="30"/>
    <x v="14"/>
    <x v="10"/>
    <n v="39"/>
    <x v="2"/>
    <x v="2"/>
  </r>
  <r>
    <x v="51"/>
    <n v="299"/>
    <n v="384"/>
    <x v="32"/>
    <x v="14"/>
    <x v="10"/>
    <n v="85"/>
    <x v="2"/>
    <x v="0"/>
  </r>
  <r>
    <x v="52"/>
    <n v="1459"/>
    <n v="1499"/>
    <x v="33"/>
    <x v="14"/>
    <x v="10"/>
    <n v="40"/>
    <x v="2"/>
    <x v="2"/>
  </r>
  <r>
    <x v="53"/>
    <n v="799"/>
    <n v="1343"/>
    <x v="28"/>
    <x v="14"/>
    <x v="10"/>
    <n v="544"/>
    <x v="2"/>
    <x v="1"/>
  </r>
  <r>
    <x v="54"/>
    <n v="499"/>
    <n v="900"/>
    <x v="8"/>
    <x v="14"/>
    <x v="10"/>
    <n v="401"/>
    <x v="2"/>
    <x v="1"/>
  </r>
  <r>
    <x v="55"/>
    <n v="699"/>
    <n v="1343"/>
    <x v="25"/>
    <x v="14"/>
    <x v="10"/>
    <n v="644"/>
    <x v="2"/>
    <x v="1"/>
  </r>
  <r>
    <x v="56"/>
    <n v="799"/>
    <n v="1567"/>
    <x v="15"/>
    <x v="14"/>
    <x v="10"/>
    <n v="768"/>
    <x v="2"/>
    <x v="1"/>
  </r>
  <r>
    <x v="57"/>
    <n v="2799"/>
    <n v="3810"/>
    <x v="26"/>
    <x v="14"/>
    <x v="10"/>
    <n v="1011"/>
    <x v="2"/>
    <x v="0"/>
  </r>
  <r>
    <x v="58"/>
    <n v="2170"/>
    <n v="2500"/>
    <x v="34"/>
    <x v="9"/>
    <x v="13"/>
    <n v="330"/>
    <x v="3"/>
    <x v="2"/>
  </r>
  <r>
    <x v="59"/>
    <n v="458"/>
    <n v="986"/>
    <x v="20"/>
    <x v="20"/>
    <x v="14"/>
    <n v="528"/>
    <x v="1"/>
    <x v="1"/>
  </r>
  <r>
    <x v="60"/>
    <n v="2115"/>
    <n v="4700"/>
    <x v="7"/>
    <x v="13"/>
    <x v="15"/>
    <n v="2585"/>
    <x v="3"/>
    <x v="1"/>
  </r>
  <r>
    <x v="61"/>
    <n v="445"/>
    <n v="873"/>
    <x v="15"/>
    <x v="21"/>
    <x v="16"/>
    <n v="428"/>
    <x v="3"/>
    <x v="1"/>
  </r>
  <r>
    <x v="62"/>
    <n v="325"/>
    <n v="680"/>
    <x v="24"/>
    <x v="5"/>
    <x v="17"/>
    <n v="355"/>
    <x v="3"/>
    <x v="1"/>
  </r>
  <r>
    <x v="63"/>
    <n v="1220"/>
    <n v="1555"/>
    <x v="32"/>
    <x v="22"/>
    <x v="18"/>
    <n v="335"/>
    <x v="3"/>
    <x v="0"/>
  </r>
  <r>
    <x v="64"/>
    <n v="990"/>
    <n v="1814"/>
    <x v="8"/>
    <x v="9"/>
    <x v="19"/>
    <n v="824"/>
    <x v="3"/>
    <x v="1"/>
  </r>
  <r>
    <x v="65"/>
    <n v="1000"/>
    <n v="2000"/>
    <x v="29"/>
    <x v="3"/>
    <x v="20"/>
    <n v="1000"/>
    <x v="3"/>
    <x v="1"/>
  </r>
  <r>
    <x v="66"/>
    <n v="3750"/>
    <n v="6143"/>
    <x v="35"/>
    <x v="4"/>
    <x v="14"/>
    <n v="2393"/>
    <x v="1"/>
    <x v="0"/>
  </r>
  <r>
    <x v="67"/>
    <n v="382"/>
    <n v="700"/>
    <x v="8"/>
    <x v="23"/>
    <x v="21"/>
    <n v="318"/>
    <x v="3"/>
    <x v="1"/>
  </r>
  <r>
    <x v="68"/>
    <n v="2300"/>
    <n v="3240"/>
    <x v="36"/>
    <x v="4"/>
    <x v="14"/>
    <n v="940"/>
    <x v="1"/>
    <x v="0"/>
  </r>
  <r>
    <x v="69"/>
    <n v="345"/>
    <n v="602"/>
    <x v="37"/>
    <x v="9"/>
    <x v="20"/>
    <n v="257"/>
    <x v="3"/>
    <x v="1"/>
  </r>
  <r>
    <x v="70"/>
    <n v="509"/>
    <n v="899"/>
    <x v="37"/>
    <x v="4"/>
    <x v="14"/>
    <n v="390"/>
    <x v="1"/>
    <x v="1"/>
  </r>
  <r>
    <x v="71"/>
    <n v="968"/>
    <n v="1814"/>
    <x v="1"/>
    <x v="9"/>
    <x v="19"/>
    <n v="846"/>
    <x v="3"/>
    <x v="1"/>
  </r>
  <r>
    <x v="72"/>
    <n v="1570"/>
    <n v="2988"/>
    <x v="1"/>
    <x v="3"/>
    <x v="15"/>
    <n v="1418"/>
    <x v="3"/>
    <x v="1"/>
  </r>
  <r>
    <x v="73"/>
    <n v="790"/>
    <n v="1485"/>
    <x v="1"/>
    <x v="14"/>
    <x v="10"/>
    <n v="695"/>
    <x v="2"/>
    <x v="1"/>
  </r>
  <r>
    <x v="74"/>
    <n v="690"/>
    <n v="1200"/>
    <x v="37"/>
    <x v="14"/>
    <x v="10"/>
    <n v="510"/>
    <x v="2"/>
    <x v="1"/>
  </r>
  <r>
    <x v="75"/>
    <n v="1732"/>
    <n v="1799"/>
    <x v="38"/>
    <x v="14"/>
    <x v="10"/>
    <n v="67"/>
    <x v="2"/>
    <x v="2"/>
  </r>
  <r>
    <x v="76"/>
    <n v="230"/>
    <n v="450"/>
    <x v="15"/>
    <x v="14"/>
    <x v="10"/>
    <n v="220"/>
    <x v="2"/>
    <x v="1"/>
  </r>
  <r>
    <x v="77"/>
    <n v="1189"/>
    <n v="2199"/>
    <x v="14"/>
    <x v="18"/>
    <x v="14"/>
    <n v="1010"/>
    <x v="1"/>
    <x v="1"/>
  </r>
  <r>
    <x v="78"/>
    <n v="979"/>
    <n v="1920"/>
    <x v="15"/>
    <x v="18"/>
    <x v="8"/>
    <n v="941"/>
    <x v="0"/>
    <x v="1"/>
  </r>
  <r>
    <x v="79"/>
    <n v="1460"/>
    <n v="2290"/>
    <x v="39"/>
    <x v="14"/>
    <x v="10"/>
    <n v="830"/>
    <x v="2"/>
    <x v="0"/>
  </r>
  <r>
    <x v="80"/>
    <n v="1666"/>
    <n v="1699"/>
    <x v="30"/>
    <x v="14"/>
    <x v="10"/>
    <n v="33"/>
    <x v="2"/>
    <x v="2"/>
  </r>
  <r>
    <x v="81"/>
    <n v="330"/>
    <n v="647"/>
    <x v="15"/>
    <x v="18"/>
    <x v="5"/>
    <n v="317"/>
    <x v="1"/>
    <x v="1"/>
  </r>
  <r>
    <x v="82"/>
    <n v="1466"/>
    <n v="1699"/>
    <x v="40"/>
    <x v="14"/>
    <x v="10"/>
    <n v="233"/>
    <x v="2"/>
    <x v="2"/>
  </r>
  <r>
    <x v="83"/>
    <n v="274"/>
    <n v="537"/>
    <x v="15"/>
    <x v="14"/>
    <x v="10"/>
    <n v="263"/>
    <x v="2"/>
    <x v="1"/>
  </r>
  <r>
    <x v="84"/>
    <n v="799"/>
    <n v="900"/>
    <x v="41"/>
    <x v="14"/>
    <x v="10"/>
    <n v="101"/>
    <x v="2"/>
    <x v="2"/>
  </r>
  <r>
    <x v="85"/>
    <n v="1468"/>
    <n v="1699"/>
    <x v="40"/>
    <x v="14"/>
    <x v="10"/>
    <n v="231"/>
    <x v="2"/>
    <x v="2"/>
  </r>
  <r>
    <x v="86"/>
    <n v="630"/>
    <n v="1100"/>
    <x v="37"/>
    <x v="14"/>
    <x v="10"/>
    <n v="470"/>
    <x v="2"/>
    <x v="1"/>
  </r>
  <r>
    <x v="87"/>
    <n v="850"/>
    <n v="1700"/>
    <x v="29"/>
    <x v="14"/>
    <x v="10"/>
    <n v="850"/>
    <x v="2"/>
    <x v="1"/>
  </r>
  <r>
    <x v="88"/>
    <n v="1300"/>
    <n v="2500"/>
    <x v="25"/>
    <x v="14"/>
    <x v="10"/>
    <n v="1200"/>
    <x v="2"/>
    <x v="1"/>
  </r>
  <r>
    <x v="89"/>
    <n v="105"/>
    <n v="200"/>
    <x v="25"/>
    <x v="14"/>
    <x v="10"/>
    <n v="95"/>
    <x v="2"/>
    <x v="1"/>
  </r>
  <r>
    <x v="90"/>
    <n v="899"/>
    <n v="1699"/>
    <x v="1"/>
    <x v="14"/>
    <x v="10"/>
    <n v="800"/>
    <x v="2"/>
    <x v="1"/>
  </r>
  <r>
    <x v="91"/>
    <n v="1200"/>
    <n v="2400"/>
    <x v="29"/>
    <x v="14"/>
    <x v="10"/>
    <n v="1200"/>
    <x v="2"/>
    <x v="1"/>
  </r>
  <r>
    <x v="92"/>
    <n v="1526"/>
    <n v="1660"/>
    <x v="42"/>
    <x v="14"/>
    <x v="10"/>
    <n v="134"/>
    <x v="2"/>
    <x v="2"/>
  </r>
  <r>
    <x v="93"/>
    <n v="1462"/>
    <n v="1499"/>
    <x v="30"/>
    <x v="14"/>
    <x v="10"/>
    <n v="37"/>
    <x v="2"/>
    <x v="2"/>
  </r>
  <r>
    <x v="94"/>
    <n v="248"/>
    <n v="486"/>
    <x v="15"/>
    <x v="14"/>
    <x v="10"/>
    <n v="238"/>
    <x v="2"/>
    <x v="1"/>
  </r>
  <r>
    <x v="95"/>
    <n v="3546"/>
    <n v="3699"/>
    <x v="38"/>
    <x v="14"/>
    <x v="10"/>
    <n v="153"/>
    <x v="2"/>
    <x v="2"/>
  </r>
  <r>
    <x v="96"/>
    <n v="525"/>
    <n v="1029"/>
    <x v="15"/>
    <x v="14"/>
    <x v="10"/>
    <n v="504"/>
    <x v="2"/>
    <x v="1"/>
  </r>
  <r>
    <x v="97"/>
    <n v="1080"/>
    <n v="1874"/>
    <x v="11"/>
    <x v="14"/>
    <x v="10"/>
    <n v="794"/>
    <x v="2"/>
    <x v="1"/>
  </r>
  <r>
    <x v="98"/>
    <n v="3640"/>
    <n v="4588"/>
    <x v="43"/>
    <x v="18"/>
    <x v="8"/>
    <n v="948"/>
    <x v="0"/>
    <x v="0"/>
  </r>
  <r>
    <x v="99"/>
    <n v="1420"/>
    <n v="2420"/>
    <x v="28"/>
    <x v="14"/>
    <x v="10"/>
    <n v="1000"/>
    <x v="2"/>
    <x v="1"/>
  </r>
  <r>
    <x v="100"/>
    <n v="1875"/>
    <n v="1899"/>
    <x v="44"/>
    <x v="14"/>
    <x v="10"/>
    <n v="24"/>
    <x v="2"/>
    <x v="2"/>
  </r>
  <r>
    <x v="101"/>
    <n v="198"/>
    <n v="260"/>
    <x v="6"/>
    <x v="14"/>
    <x v="10"/>
    <n v="62"/>
    <x v="2"/>
    <x v="0"/>
  </r>
  <r>
    <x v="102"/>
    <n v="1150"/>
    <n v="1737"/>
    <x v="10"/>
    <x v="14"/>
    <x v="10"/>
    <n v="587"/>
    <x v="2"/>
    <x v="0"/>
  </r>
  <r>
    <x v="103"/>
    <n v="1190"/>
    <n v="1810"/>
    <x v="10"/>
    <x v="14"/>
    <x v="10"/>
    <n v="620"/>
    <x v="2"/>
    <x v="0"/>
  </r>
  <r>
    <x v="104"/>
    <n v="1658"/>
    <n v="1699"/>
    <x v="30"/>
    <x v="14"/>
    <x v="10"/>
    <n v="41"/>
    <x v="2"/>
    <x v="2"/>
  </r>
  <r>
    <x v="105"/>
    <n v="1768"/>
    <n v="1799"/>
    <x v="30"/>
    <x v="14"/>
    <x v="10"/>
    <n v="31"/>
    <x v="2"/>
    <x v="2"/>
  </r>
  <r>
    <x v="106"/>
    <n v="199"/>
    <n v="553"/>
    <x v="45"/>
    <x v="14"/>
    <x v="10"/>
    <n v="354"/>
    <x v="2"/>
    <x v="1"/>
  </r>
  <r>
    <x v="107"/>
    <n v="450"/>
    <n v="900"/>
    <x v="29"/>
    <x v="18"/>
    <x v="22"/>
    <n v="450"/>
    <x v="3"/>
    <x v="1"/>
  </r>
  <r>
    <x v="108"/>
    <n v="169"/>
    <n v="320"/>
    <x v="1"/>
    <x v="14"/>
    <x v="10"/>
    <n v="151"/>
    <x v="2"/>
    <x v="1"/>
  </r>
  <r>
    <x v="109"/>
    <n v="1208.2568807339449"/>
    <n v="1837.7522935779816"/>
    <x v="46"/>
    <x v="24"/>
    <x v="22"/>
    <m/>
    <x v="4"/>
    <x v="3"/>
  </r>
  <r>
    <x v="109"/>
    <m/>
    <m/>
    <x v="47"/>
    <x v="24"/>
    <x v="23"/>
    <m/>
    <x v="4"/>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
  <r>
    <x v="0"/>
    <n v="950"/>
    <n v="1525"/>
    <x v="0"/>
    <x v="0"/>
    <x v="0"/>
    <x v="0"/>
    <s v="Excellent"/>
    <x v="0"/>
  </r>
  <r>
    <x v="1"/>
    <n v="527"/>
    <n v="999"/>
    <x v="1"/>
    <x v="1"/>
    <x v="1"/>
    <x v="1"/>
    <s v="Average"/>
    <x v="1"/>
  </r>
  <r>
    <x v="2"/>
    <n v="2199"/>
    <n v="2923"/>
    <x v="2"/>
    <x v="2"/>
    <x v="2"/>
    <x v="2"/>
    <s v="Excellent"/>
    <x v="0"/>
  </r>
  <r>
    <x v="3"/>
    <n v="1580"/>
    <n v="2499"/>
    <x v="3"/>
    <x v="3"/>
    <x v="3"/>
    <x v="3"/>
    <s v="Excellent"/>
    <x v="0"/>
  </r>
  <r>
    <x v="4"/>
    <n v="1740"/>
    <n v="2356"/>
    <x v="4"/>
    <x v="4"/>
    <x v="4"/>
    <x v="4"/>
    <s v="Excellent"/>
    <x v="0"/>
  </r>
  <r>
    <x v="5"/>
    <n v="2999"/>
    <n v="3290"/>
    <x v="5"/>
    <x v="5"/>
    <x v="5"/>
    <x v="5"/>
    <s v="Average"/>
    <x v="2"/>
  </r>
  <r>
    <x v="6"/>
    <n v="2319"/>
    <n v="3032"/>
    <x v="6"/>
    <x v="6"/>
    <x v="2"/>
    <x v="6"/>
    <s v="Excellent"/>
    <x v="0"/>
  </r>
  <r>
    <x v="7"/>
    <n v="988"/>
    <n v="1580"/>
    <x v="3"/>
    <x v="0"/>
    <x v="5"/>
    <x v="7"/>
    <s v="Average"/>
    <x v="0"/>
  </r>
  <r>
    <x v="8"/>
    <n v="1274"/>
    <n v="2800"/>
    <x v="7"/>
    <x v="4"/>
    <x v="4"/>
    <x v="8"/>
    <s v="Excellent"/>
    <x v="1"/>
  </r>
  <r>
    <x v="9"/>
    <n v="1600"/>
    <n v="2929"/>
    <x v="8"/>
    <x v="4"/>
    <x v="6"/>
    <x v="9"/>
    <s v="Average"/>
    <x v="1"/>
  </r>
  <r>
    <x v="10"/>
    <n v="799"/>
    <n v="999"/>
    <x v="9"/>
    <x v="7"/>
    <x v="1"/>
    <x v="10"/>
    <s v="Average"/>
    <x v="0"/>
  </r>
  <r>
    <x v="11"/>
    <n v="990"/>
    <n v="1500"/>
    <x v="10"/>
    <x v="8"/>
    <x v="3"/>
    <x v="11"/>
    <s v="Excellent"/>
    <x v="0"/>
  </r>
  <r>
    <x v="12"/>
    <n v="552"/>
    <n v="1035"/>
    <x v="1"/>
    <x v="7"/>
    <x v="4"/>
    <x v="12"/>
    <s v="Excellent"/>
    <x v="1"/>
  </r>
  <r>
    <x v="13"/>
    <n v="501"/>
    <n v="860"/>
    <x v="11"/>
    <x v="9"/>
    <x v="0"/>
    <x v="13"/>
    <s v="Excellent"/>
    <x v="1"/>
  </r>
  <r>
    <x v="14"/>
    <n v="1680"/>
    <n v="2499"/>
    <x v="12"/>
    <x v="10"/>
    <x v="7"/>
    <x v="14"/>
    <s v="Average"/>
    <x v="0"/>
  </r>
  <r>
    <x v="15"/>
    <n v="332"/>
    <n v="684"/>
    <x v="13"/>
    <x v="0"/>
    <x v="8"/>
    <x v="15"/>
    <s v="Excellent"/>
    <x v="1"/>
  </r>
  <r>
    <x v="16"/>
    <n v="195"/>
    <n v="360"/>
    <x v="14"/>
    <x v="0"/>
    <x v="8"/>
    <x v="16"/>
    <s v="Excellent"/>
    <x v="1"/>
  </r>
  <r>
    <x v="17"/>
    <n v="2025"/>
    <n v="3971"/>
    <x v="15"/>
    <x v="11"/>
    <x v="8"/>
    <x v="17"/>
    <s v="Excellent"/>
    <x v="1"/>
  </r>
  <r>
    <x v="18"/>
    <n v="2999"/>
    <n v="3699"/>
    <x v="16"/>
    <x v="4"/>
    <x v="2"/>
    <x v="18"/>
    <s v="Excellent"/>
    <x v="2"/>
  </r>
  <r>
    <x v="19"/>
    <n v="998"/>
    <n v="1966"/>
    <x v="15"/>
    <x v="12"/>
    <x v="2"/>
    <x v="19"/>
    <s v="Excellent"/>
    <x v="1"/>
  </r>
  <r>
    <x v="20"/>
    <n v="38"/>
    <n v="80"/>
    <x v="17"/>
    <x v="13"/>
    <x v="9"/>
    <x v="20"/>
    <s v="Average"/>
    <x v="1"/>
  </r>
  <r>
    <x v="21"/>
    <n v="1860"/>
    <n v="3220"/>
    <x v="11"/>
    <x v="14"/>
    <x v="10"/>
    <x v="21"/>
    <s v="N/A"/>
    <x v="1"/>
  </r>
  <r>
    <x v="22"/>
    <n v="880"/>
    <n v="1350"/>
    <x v="18"/>
    <x v="9"/>
    <x v="5"/>
    <x v="22"/>
    <s v="Average"/>
    <x v="0"/>
  </r>
  <r>
    <x v="23"/>
    <n v="1650"/>
    <n v="2150"/>
    <x v="19"/>
    <x v="1"/>
    <x v="11"/>
    <x v="23"/>
    <s v="Average"/>
    <x v="0"/>
  </r>
  <r>
    <x v="24"/>
    <n v="2048"/>
    <n v="4500"/>
    <x v="20"/>
    <x v="3"/>
    <x v="12"/>
    <x v="24"/>
    <s v="Average"/>
    <x v="1"/>
  </r>
  <r>
    <x v="25"/>
    <n v="420"/>
    <n v="647"/>
    <x v="18"/>
    <x v="15"/>
    <x v="2"/>
    <x v="25"/>
    <s v="Excellent"/>
    <x v="0"/>
  </r>
  <r>
    <x v="26"/>
    <n v="2880"/>
    <n v="3520"/>
    <x v="21"/>
    <x v="7"/>
    <x v="6"/>
    <x v="26"/>
    <s v="Average"/>
    <x v="2"/>
  </r>
  <r>
    <x v="27"/>
    <n v="1350"/>
    <n v="1990"/>
    <x v="22"/>
    <x v="13"/>
    <x v="6"/>
    <x v="26"/>
    <s v="Average"/>
    <x v="0"/>
  </r>
  <r>
    <x v="28"/>
    <n v="1758"/>
    <n v="2499"/>
    <x v="23"/>
    <x v="16"/>
    <x v="1"/>
    <x v="27"/>
    <s v="Average"/>
    <x v="0"/>
  </r>
  <r>
    <x v="29"/>
    <n v="2200"/>
    <n v="4080"/>
    <x v="14"/>
    <x v="14"/>
    <x v="10"/>
    <x v="28"/>
    <s v="N/A"/>
    <x v="1"/>
  </r>
  <r>
    <x v="30"/>
    <n v="185"/>
    <n v="382"/>
    <x v="24"/>
    <x v="10"/>
    <x v="12"/>
    <x v="29"/>
    <s v="Average"/>
    <x v="1"/>
  </r>
  <r>
    <x v="31"/>
    <n v="980"/>
    <n v="1490"/>
    <x v="10"/>
    <x v="7"/>
    <x v="3"/>
    <x v="11"/>
    <s v="Excellent"/>
    <x v="0"/>
  </r>
  <r>
    <x v="32"/>
    <n v="1820"/>
    <n v="3490"/>
    <x v="25"/>
    <x v="10"/>
    <x v="12"/>
    <x v="30"/>
    <s v="Average"/>
    <x v="1"/>
  </r>
  <r>
    <x v="33"/>
    <n v="1940"/>
    <n v="2650"/>
    <x v="26"/>
    <x v="16"/>
    <x v="3"/>
    <x v="31"/>
    <s v="Excellent"/>
    <x v="0"/>
  </r>
  <r>
    <x v="34"/>
    <n v="1980"/>
    <n v="2699"/>
    <x v="26"/>
    <x v="17"/>
    <x v="0"/>
    <x v="32"/>
    <s v="Excellent"/>
    <x v="0"/>
  </r>
  <r>
    <x v="35"/>
    <n v="1620"/>
    <n v="2690"/>
    <x v="27"/>
    <x v="18"/>
    <x v="8"/>
    <x v="33"/>
    <s v="Excellent"/>
    <x v="0"/>
  </r>
  <r>
    <x v="36"/>
    <n v="171"/>
    <n v="360"/>
    <x v="17"/>
    <x v="0"/>
    <x v="8"/>
    <x v="34"/>
    <s v="Excellent"/>
    <x v="1"/>
  </r>
  <r>
    <x v="37"/>
    <n v="389"/>
    <n v="656"/>
    <x v="28"/>
    <x v="19"/>
    <x v="12"/>
    <x v="35"/>
    <s v="Average"/>
    <x v="1"/>
  </r>
  <r>
    <x v="38"/>
    <n v="1800"/>
    <n v="2700"/>
    <x v="0"/>
    <x v="0"/>
    <x v="0"/>
    <x v="36"/>
    <s v="Excellent"/>
    <x v="0"/>
  </r>
  <r>
    <x v="39"/>
    <n v="2750"/>
    <n v="4471"/>
    <x v="0"/>
    <x v="14"/>
    <x v="10"/>
    <x v="37"/>
    <s v="N/A"/>
    <x v="0"/>
  </r>
  <r>
    <x v="40"/>
    <n v="475"/>
    <n v="931"/>
    <x v="15"/>
    <x v="14"/>
    <x v="10"/>
    <x v="38"/>
    <s v="N/A"/>
    <x v="1"/>
  </r>
  <r>
    <x v="41"/>
    <n v="238"/>
    <n v="476"/>
    <x v="29"/>
    <x v="14"/>
    <x v="10"/>
    <x v="39"/>
    <s v="N/A"/>
    <x v="1"/>
  </r>
  <r>
    <x v="42"/>
    <n v="610"/>
    <n v="1060"/>
    <x v="11"/>
    <x v="14"/>
    <x v="10"/>
    <x v="40"/>
    <s v="N/A"/>
    <x v="1"/>
  </r>
  <r>
    <x v="43"/>
    <n v="2132"/>
    <n v="2169"/>
    <x v="30"/>
    <x v="14"/>
    <x v="10"/>
    <x v="41"/>
    <s v="N/A"/>
    <x v="2"/>
  </r>
  <r>
    <x v="44"/>
    <n v="999"/>
    <n v="2000"/>
    <x v="29"/>
    <x v="14"/>
    <x v="10"/>
    <x v="42"/>
    <s v="N/A"/>
    <x v="1"/>
  </r>
  <r>
    <x v="45"/>
    <n v="1190"/>
    <n v="1785"/>
    <x v="12"/>
    <x v="14"/>
    <x v="10"/>
    <x v="43"/>
    <s v="N/A"/>
    <x v="0"/>
  </r>
  <r>
    <x v="46"/>
    <n v="671"/>
    <n v="1316"/>
    <x v="15"/>
    <x v="14"/>
    <x v="10"/>
    <x v="44"/>
    <s v="N/A"/>
    <x v="1"/>
  </r>
  <r>
    <x v="47"/>
    <n v="1200"/>
    <n v="1950"/>
    <x v="0"/>
    <x v="14"/>
    <x v="10"/>
    <x v="45"/>
    <s v="N/A"/>
    <x v="0"/>
  </r>
  <r>
    <x v="48"/>
    <n v="199"/>
    <n v="504"/>
    <x v="31"/>
    <x v="14"/>
    <x v="10"/>
    <x v="46"/>
    <s v="N/A"/>
    <x v="1"/>
  </r>
  <r>
    <x v="49"/>
    <n v="299"/>
    <n v="600"/>
    <x v="29"/>
    <x v="14"/>
    <x v="10"/>
    <x v="47"/>
    <s v="N/A"/>
    <x v="1"/>
  </r>
  <r>
    <x v="50"/>
    <n v="1660"/>
    <n v="1699"/>
    <x v="30"/>
    <x v="14"/>
    <x v="10"/>
    <x v="48"/>
    <s v="N/A"/>
    <x v="2"/>
  </r>
  <r>
    <x v="51"/>
    <n v="299"/>
    <n v="384"/>
    <x v="32"/>
    <x v="14"/>
    <x v="10"/>
    <x v="49"/>
    <s v="N/A"/>
    <x v="0"/>
  </r>
  <r>
    <x v="52"/>
    <n v="1459"/>
    <n v="1499"/>
    <x v="33"/>
    <x v="14"/>
    <x v="10"/>
    <x v="50"/>
    <s v="N/A"/>
    <x v="2"/>
  </r>
  <r>
    <x v="53"/>
    <n v="799"/>
    <n v="1343"/>
    <x v="28"/>
    <x v="14"/>
    <x v="10"/>
    <x v="51"/>
    <s v="N/A"/>
    <x v="1"/>
  </r>
  <r>
    <x v="54"/>
    <n v="499"/>
    <n v="900"/>
    <x v="8"/>
    <x v="14"/>
    <x v="10"/>
    <x v="52"/>
    <s v="N/A"/>
    <x v="1"/>
  </r>
  <r>
    <x v="55"/>
    <n v="699"/>
    <n v="1343"/>
    <x v="25"/>
    <x v="14"/>
    <x v="10"/>
    <x v="53"/>
    <s v="N/A"/>
    <x v="1"/>
  </r>
  <r>
    <x v="56"/>
    <n v="799"/>
    <n v="1567"/>
    <x v="15"/>
    <x v="14"/>
    <x v="10"/>
    <x v="54"/>
    <s v="N/A"/>
    <x v="1"/>
  </r>
  <r>
    <x v="57"/>
    <n v="2799"/>
    <n v="3810"/>
    <x v="26"/>
    <x v="14"/>
    <x v="10"/>
    <x v="55"/>
    <s v="N/A"/>
    <x v="0"/>
  </r>
  <r>
    <x v="58"/>
    <n v="2170"/>
    <n v="2500"/>
    <x v="34"/>
    <x v="9"/>
    <x v="13"/>
    <x v="56"/>
    <s v="Poor"/>
    <x v="2"/>
  </r>
  <r>
    <x v="59"/>
    <n v="458"/>
    <n v="986"/>
    <x v="20"/>
    <x v="20"/>
    <x v="14"/>
    <x v="57"/>
    <s v="Average"/>
    <x v="1"/>
  </r>
  <r>
    <x v="60"/>
    <n v="2115"/>
    <n v="4700"/>
    <x v="7"/>
    <x v="13"/>
    <x v="15"/>
    <x v="58"/>
    <s v="Poor"/>
    <x v="1"/>
  </r>
  <r>
    <x v="61"/>
    <n v="445"/>
    <n v="873"/>
    <x v="15"/>
    <x v="21"/>
    <x v="16"/>
    <x v="59"/>
    <s v="Poor"/>
    <x v="1"/>
  </r>
  <r>
    <x v="62"/>
    <n v="325"/>
    <n v="680"/>
    <x v="24"/>
    <x v="5"/>
    <x v="17"/>
    <x v="60"/>
    <s v="Poor"/>
    <x v="1"/>
  </r>
  <r>
    <x v="63"/>
    <n v="1220"/>
    <n v="1555"/>
    <x v="32"/>
    <x v="22"/>
    <x v="18"/>
    <x v="61"/>
    <s v="Poor"/>
    <x v="0"/>
  </r>
  <r>
    <x v="64"/>
    <n v="990"/>
    <n v="1814"/>
    <x v="8"/>
    <x v="9"/>
    <x v="19"/>
    <x v="62"/>
    <s v="Poor"/>
    <x v="1"/>
  </r>
  <r>
    <x v="65"/>
    <n v="1000"/>
    <n v="2000"/>
    <x v="29"/>
    <x v="3"/>
    <x v="20"/>
    <x v="63"/>
    <s v="Poor"/>
    <x v="1"/>
  </r>
  <r>
    <x v="66"/>
    <n v="3750"/>
    <n v="6143"/>
    <x v="35"/>
    <x v="4"/>
    <x v="14"/>
    <x v="64"/>
    <s v="Average"/>
    <x v="0"/>
  </r>
  <r>
    <x v="67"/>
    <n v="382"/>
    <n v="700"/>
    <x v="8"/>
    <x v="23"/>
    <x v="21"/>
    <x v="65"/>
    <s v="Poor"/>
    <x v="1"/>
  </r>
  <r>
    <x v="68"/>
    <n v="2300"/>
    <n v="3240"/>
    <x v="36"/>
    <x v="4"/>
    <x v="14"/>
    <x v="66"/>
    <s v="Average"/>
    <x v="0"/>
  </r>
  <r>
    <x v="69"/>
    <n v="345"/>
    <n v="602"/>
    <x v="37"/>
    <x v="9"/>
    <x v="20"/>
    <x v="67"/>
    <s v="Poor"/>
    <x v="1"/>
  </r>
  <r>
    <x v="70"/>
    <n v="509"/>
    <n v="899"/>
    <x v="37"/>
    <x v="4"/>
    <x v="14"/>
    <x v="68"/>
    <s v="Average"/>
    <x v="1"/>
  </r>
  <r>
    <x v="71"/>
    <n v="968"/>
    <n v="1814"/>
    <x v="1"/>
    <x v="9"/>
    <x v="19"/>
    <x v="69"/>
    <s v="Poor"/>
    <x v="1"/>
  </r>
  <r>
    <x v="72"/>
    <n v="1570"/>
    <n v="2988"/>
    <x v="1"/>
    <x v="3"/>
    <x v="15"/>
    <x v="70"/>
    <s v="Poor"/>
    <x v="1"/>
  </r>
  <r>
    <x v="73"/>
    <n v="790"/>
    <n v="1485"/>
    <x v="1"/>
    <x v="14"/>
    <x v="10"/>
    <x v="71"/>
    <s v="N/A"/>
    <x v="1"/>
  </r>
  <r>
    <x v="74"/>
    <n v="690"/>
    <n v="1200"/>
    <x v="37"/>
    <x v="14"/>
    <x v="10"/>
    <x v="11"/>
    <s v="N/A"/>
    <x v="1"/>
  </r>
  <r>
    <x v="75"/>
    <n v="1732"/>
    <n v="1799"/>
    <x v="38"/>
    <x v="14"/>
    <x v="10"/>
    <x v="72"/>
    <s v="N/A"/>
    <x v="2"/>
  </r>
  <r>
    <x v="76"/>
    <n v="230"/>
    <n v="450"/>
    <x v="15"/>
    <x v="14"/>
    <x v="10"/>
    <x v="73"/>
    <s v="N/A"/>
    <x v="1"/>
  </r>
  <r>
    <x v="77"/>
    <n v="1189"/>
    <n v="2199"/>
    <x v="14"/>
    <x v="18"/>
    <x v="14"/>
    <x v="74"/>
    <s v="Average"/>
    <x v="1"/>
  </r>
  <r>
    <x v="78"/>
    <n v="979"/>
    <n v="1920"/>
    <x v="15"/>
    <x v="18"/>
    <x v="8"/>
    <x v="75"/>
    <s v="Excellent"/>
    <x v="1"/>
  </r>
  <r>
    <x v="79"/>
    <n v="1460"/>
    <n v="2290"/>
    <x v="39"/>
    <x v="14"/>
    <x v="10"/>
    <x v="76"/>
    <s v="N/A"/>
    <x v="0"/>
  </r>
  <r>
    <x v="80"/>
    <n v="1666"/>
    <n v="1699"/>
    <x v="30"/>
    <x v="14"/>
    <x v="10"/>
    <x v="77"/>
    <s v="N/A"/>
    <x v="2"/>
  </r>
  <r>
    <x v="81"/>
    <n v="330"/>
    <n v="647"/>
    <x v="15"/>
    <x v="18"/>
    <x v="5"/>
    <x v="78"/>
    <s v="Average"/>
    <x v="1"/>
  </r>
  <r>
    <x v="82"/>
    <n v="1466"/>
    <n v="1699"/>
    <x v="40"/>
    <x v="14"/>
    <x v="10"/>
    <x v="79"/>
    <s v="N/A"/>
    <x v="2"/>
  </r>
  <r>
    <x v="83"/>
    <n v="274"/>
    <n v="537"/>
    <x v="15"/>
    <x v="14"/>
    <x v="10"/>
    <x v="80"/>
    <s v="N/A"/>
    <x v="1"/>
  </r>
  <r>
    <x v="84"/>
    <n v="799"/>
    <n v="900"/>
    <x v="41"/>
    <x v="14"/>
    <x v="10"/>
    <x v="81"/>
    <s v="N/A"/>
    <x v="2"/>
  </r>
  <r>
    <x v="85"/>
    <n v="1468"/>
    <n v="1699"/>
    <x v="40"/>
    <x v="14"/>
    <x v="10"/>
    <x v="82"/>
    <s v="N/A"/>
    <x v="2"/>
  </r>
  <r>
    <x v="86"/>
    <n v="630"/>
    <n v="1100"/>
    <x v="37"/>
    <x v="14"/>
    <x v="10"/>
    <x v="22"/>
    <s v="N/A"/>
    <x v="1"/>
  </r>
  <r>
    <x v="87"/>
    <n v="850"/>
    <n v="1700"/>
    <x v="29"/>
    <x v="14"/>
    <x v="10"/>
    <x v="83"/>
    <s v="N/A"/>
    <x v="1"/>
  </r>
  <r>
    <x v="88"/>
    <n v="1300"/>
    <n v="2500"/>
    <x v="25"/>
    <x v="14"/>
    <x v="10"/>
    <x v="84"/>
    <s v="N/A"/>
    <x v="1"/>
  </r>
  <r>
    <x v="89"/>
    <n v="105"/>
    <n v="200"/>
    <x v="25"/>
    <x v="14"/>
    <x v="10"/>
    <x v="85"/>
    <s v="N/A"/>
    <x v="1"/>
  </r>
  <r>
    <x v="90"/>
    <n v="899"/>
    <n v="1699"/>
    <x v="1"/>
    <x v="14"/>
    <x v="10"/>
    <x v="86"/>
    <s v="N/A"/>
    <x v="1"/>
  </r>
  <r>
    <x v="91"/>
    <n v="1200"/>
    <n v="2400"/>
    <x v="29"/>
    <x v="14"/>
    <x v="10"/>
    <x v="84"/>
    <s v="N/A"/>
    <x v="1"/>
  </r>
  <r>
    <x v="92"/>
    <n v="1526"/>
    <n v="1660"/>
    <x v="42"/>
    <x v="14"/>
    <x v="10"/>
    <x v="87"/>
    <s v="N/A"/>
    <x v="2"/>
  </r>
  <r>
    <x v="93"/>
    <n v="1462"/>
    <n v="1499"/>
    <x v="30"/>
    <x v="14"/>
    <x v="10"/>
    <x v="41"/>
    <s v="N/A"/>
    <x v="2"/>
  </r>
  <r>
    <x v="94"/>
    <n v="248"/>
    <n v="486"/>
    <x v="15"/>
    <x v="14"/>
    <x v="10"/>
    <x v="39"/>
    <s v="N/A"/>
    <x v="1"/>
  </r>
  <r>
    <x v="95"/>
    <n v="3546"/>
    <n v="3699"/>
    <x v="38"/>
    <x v="14"/>
    <x v="10"/>
    <x v="88"/>
    <s v="N/A"/>
    <x v="2"/>
  </r>
  <r>
    <x v="96"/>
    <n v="525"/>
    <n v="1029"/>
    <x v="15"/>
    <x v="14"/>
    <x v="10"/>
    <x v="89"/>
    <s v="N/A"/>
    <x v="1"/>
  </r>
  <r>
    <x v="97"/>
    <n v="1080"/>
    <n v="1874"/>
    <x v="11"/>
    <x v="14"/>
    <x v="10"/>
    <x v="90"/>
    <s v="N/A"/>
    <x v="1"/>
  </r>
  <r>
    <x v="98"/>
    <n v="3640"/>
    <n v="4588"/>
    <x v="43"/>
    <x v="18"/>
    <x v="8"/>
    <x v="91"/>
    <s v="Excellent"/>
    <x v="0"/>
  </r>
  <r>
    <x v="99"/>
    <n v="1420"/>
    <n v="2420"/>
    <x v="28"/>
    <x v="14"/>
    <x v="10"/>
    <x v="63"/>
    <s v="N/A"/>
    <x v="1"/>
  </r>
  <r>
    <x v="100"/>
    <n v="1875"/>
    <n v="1899"/>
    <x v="44"/>
    <x v="14"/>
    <x v="10"/>
    <x v="92"/>
    <s v="N/A"/>
    <x v="2"/>
  </r>
  <r>
    <x v="101"/>
    <n v="198"/>
    <n v="260"/>
    <x v="6"/>
    <x v="14"/>
    <x v="10"/>
    <x v="93"/>
    <s v="N/A"/>
    <x v="0"/>
  </r>
  <r>
    <x v="102"/>
    <n v="1150"/>
    <n v="1737"/>
    <x v="10"/>
    <x v="14"/>
    <x v="10"/>
    <x v="94"/>
    <s v="N/A"/>
    <x v="0"/>
  </r>
  <r>
    <x v="103"/>
    <n v="1190"/>
    <n v="1810"/>
    <x v="10"/>
    <x v="14"/>
    <x v="10"/>
    <x v="95"/>
    <s v="N/A"/>
    <x v="0"/>
  </r>
  <r>
    <x v="104"/>
    <n v="1658"/>
    <n v="1699"/>
    <x v="30"/>
    <x v="14"/>
    <x v="10"/>
    <x v="96"/>
    <s v="N/A"/>
    <x v="2"/>
  </r>
  <r>
    <x v="105"/>
    <n v="1768"/>
    <n v="1799"/>
    <x v="30"/>
    <x v="14"/>
    <x v="10"/>
    <x v="97"/>
    <s v="N/A"/>
    <x v="2"/>
  </r>
  <r>
    <x v="106"/>
    <n v="199"/>
    <n v="553"/>
    <x v="45"/>
    <x v="14"/>
    <x v="10"/>
    <x v="98"/>
    <s v="N/A"/>
    <x v="1"/>
  </r>
  <r>
    <x v="107"/>
    <n v="450"/>
    <n v="900"/>
    <x v="29"/>
    <x v="18"/>
    <x v="22"/>
    <x v="40"/>
    <s v="Poor"/>
    <x v="1"/>
  </r>
  <r>
    <x v="108"/>
    <n v="169"/>
    <n v="320"/>
    <x v="1"/>
    <x v="14"/>
    <x v="10"/>
    <x v="99"/>
    <s v="N/A"/>
    <x v="1"/>
  </r>
  <r>
    <x v="109"/>
    <n v="1208.2568807339449"/>
    <n v="1837.7522935779816"/>
    <x v="46"/>
    <x v="24"/>
    <x v="22"/>
    <x v="100"/>
    <m/>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B8854B-44A9-43A3-9F71-569F2C0D7A88}" name="PivotTable15" cacheId="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8" firstHeaderRow="0" firstDataRow="1" firstDataCol="1"/>
  <pivotFields count="9">
    <pivotField showAll="0">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pivotField>
    <pivotField showAll="0"/>
    <pivotField showAll="0"/>
    <pivotField dataField="1" showAll="0">
      <items count="49">
        <item x="44"/>
        <item x="30"/>
        <item x="33"/>
        <item x="38"/>
        <item x="42"/>
        <item x="5"/>
        <item x="41"/>
        <item x="34"/>
        <item x="40"/>
        <item x="21"/>
        <item x="16"/>
        <item x="9"/>
        <item x="43"/>
        <item x="32"/>
        <item x="19"/>
        <item x="6"/>
        <item x="2"/>
        <item x="4"/>
        <item x="26"/>
        <item x="36"/>
        <item x="23"/>
        <item x="22"/>
        <item x="12"/>
        <item x="10"/>
        <item x="18"/>
        <item x="39"/>
        <item x="46"/>
        <item x="3"/>
        <item x="0"/>
        <item x="35"/>
        <item x="27"/>
        <item x="28"/>
        <item x="11"/>
        <item x="37"/>
        <item x="8"/>
        <item x="14"/>
        <item x="1"/>
        <item x="25"/>
        <item x="15"/>
        <item x="29"/>
        <item x="13"/>
        <item x="24"/>
        <item x="17"/>
        <item x="20"/>
        <item x="7"/>
        <item x="31"/>
        <item x="45"/>
        <item x="47"/>
        <item t="default"/>
      </items>
    </pivotField>
    <pivotField showAll="0">
      <items count="26">
        <item x="14"/>
        <item x="18"/>
        <item x="0"/>
        <item x="11"/>
        <item x="4"/>
        <item x="9"/>
        <item x="3"/>
        <item x="10"/>
        <item x="20"/>
        <item x="7"/>
        <item x="13"/>
        <item x="1"/>
        <item x="5"/>
        <item x="22"/>
        <item x="23"/>
        <item x="16"/>
        <item x="2"/>
        <item x="17"/>
        <item x="19"/>
        <item x="8"/>
        <item x="12"/>
        <item x="15"/>
        <item x="6"/>
        <item x="21"/>
        <item x="24"/>
        <item t="default"/>
      </items>
    </pivotField>
    <pivotField dataField="1" showAll="0">
      <items count="25">
        <item x="22"/>
        <item x="15"/>
        <item x="19"/>
        <item x="20"/>
        <item x="13"/>
        <item x="21"/>
        <item x="17"/>
        <item x="16"/>
        <item x="18"/>
        <item x="14"/>
        <item x="9"/>
        <item x="6"/>
        <item x="5"/>
        <item x="1"/>
        <item x="7"/>
        <item x="12"/>
        <item x="11"/>
        <item x="0"/>
        <item x="2"/>
        <item x="3"/>
        <item x="4"/>
        <item x="8"/>
        <item x="10"/>
        <item x="23"/>
        <item t="default"/>
      </items>
    </pivotField>
    <pivotField showAll="0"/>
    <pivotField showAll="0"/>
    <pivotField axis="axisRow" showAll="0">
      <items count="5">
        <item x="1"/>
        <item x="2"/>
        <item x="0"/>
        <item x="3"/>
        <item t="default"/>
      </items>
    </pivotField>
  </pivotFields>
  <rowFields count="1">
    <field x="8"/>
  </rowFields>
  <rowItems count="5">
    <i>
      <x/>
    </i>
    <i>
      <x v="1"/>
    </i>
    <i>
      <x v="2"/>
    </i>
    <i>
      <x v="3"/>
    </i>
    <i t="grand">
      <x/>
    </i>
  </rowItems>
  <colFields count="1">
    <field x="-2"/>
  </colFields>
  <colItems count="2">
    <i>
      <x/>
    </i>
    <i i="1">
      <x v="1"/>
    </i>
  </colItems>
  <dataFields count="2">
    <dataField name="Average of Rating" fld="5" subtotal="average" baseField="8" baseItem="0"/>
    <dataField name="Average of Discount" fld="3" subtotal="average" baseField="8" baseItem="0" numFmtId="167"/>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39E253-518B-44CE-8A6E-57187C86D05E}" name="PivotTable16" cacheId="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9">
    <pivotField dataField="1" showAll="0">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pivotField>
    <pivotField showAll="0"/>
    <pivotField showAll="0"/>
    <pivotField showAll="0">
      <items count="49">
        <item x="44"/>
        <item x="30"/>
        <item x="33"/>
        <item x="38"/>
        <item x="42"/>
        <item x="5"/>
        <item x="41"/>
        <item x="34"/>
        <item x="40"/>
        <item x="21"/>
        <item x="16"/>
        <item x="9"/>
        <item x="43"/>
        <item x="32"/>
        <item x="19"/>
        <item x="6"/>
        <item x="2"/>
        <item x="4"/>
        <item x="26"/>
        <item x="36"/>
        <item x="23"/>
        <item x="22"/>
        <item x="12"/>
        <item x="10"/>
        <item x="18"/>
        <item x="39"/>
        <item x="46"/>
        <item x="3"/>
        <item x="0"/>
        <item x="35"/>
        <item x="27"/>
        <item x="28"/>
        <item x="11"/>
        <item x="37"/>
        <item x="8"/>
        <item x="14"/>
        <item x="1"/>
        <item x="25"/>
        <item x="15"/>
        <item x="29"/>
        <item x="13"/>
        <item x="24"/>
        <item x="17"/>
        <item x="20"/>
        <item x="7"/>
        <item x="31"/>
        <item x="45"/>
        <item x="47"/>
        <item t="default"/>
      </items>
    </pivotField>
    <pivotField showAll="0">
      <items count="26">
        <item x="14"/>
        <item x="18"/>
        <item x="0"/>
        <item x="11"/>
        <item x="4"/>
        <item x="9"/>
        <item x="3"/>
        <item x="10"/>
        <item x="20"/>
        <item x="7"/>
        <item x="13"/>
        <item x="1"/>
        <item x="5"/>
        <item x="22"/>
        <item x="23"/>
        <item x="16"/>
        <item x="2"/>
        <item x="17"/>
        <item x="19"/>
        <item x="8"/>
        <item x="12"/>
        <item x="15"/>
        <item x="6"/>
        <item x="21"/>
        <item x="24"/>
        <item t="default"/>
      </items>
    </pivotField>
    <pivotField showAll="0">
      <items count="25">
        <item x="22"/>
        <item x="15"/>
        <item x="19"/>
        <item x="20"/>
        <item x="13"/>
        <item x="21"/>
        <item x="17"/>
        <item x="16"/>
        <item x="18"/>
        <item x="14"/>
        <item x="9"/>
        <item x="6"/>
        <item x="5"/>
        <item x="1"/>
        <item x="7"/>
        <item x="12"/>
        <item x="11"/>
        <item x="0"/>
        <item x="2"/>
        <item x="3"/>
        <item x="4"/>
        <item x="8"/>
        <item x="10"/>
        <item x="23"/>
        <item t="default"/>
      </items>
    </pivotField>
    <pivotField showAll="0"/>
    <pivotField axis="axisRow" showAll="0">
      <items count="6">
        <item x="1"/>
        <item x="0"/>
        <item x="2"/>
        <item x="3"/>
        <item x="4"/>
        <item t="default"/>
      </items>
    </pivotField>
    <pivotField showAll="0"/>
  </pivotFields>
  <rowFields count="1">
    <field x="7"/>
  </rowFields>
  <rowItems count="6">
    <i>
      <x/>
    </i>
    <i>
      <x v="1"/>
    </i>
    <i>
      <x v="2"/>
    </i>
    <i>
      <x v="3"/>
    </i>
    <i>
      <x v="4"/>
    </i>
    <i t="grand">
      <x/>
    </i>
  </rowItems>
  <colItems count="1">
    <i/>
  </colItems>
  <dataFields count="1">
    <dataField name="Count of Product"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D1F78F-9FAD-430C-9725-F9BF761B9ADC}" name="PivotTable17" cacheId="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52" firstHeaderRow="1" firstDataRow="1" firstDataCol="1"/>
  <pivotFields count="9">
    <pivotField showAll="0">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pivotField>
    <pivotField showAll="0"/>
    <pivotField showAll="0"/>
    <pivotField axis="axisRow" showAll="0">
      <items count="49">
        <item x="44"/>
        <item x="30"/>
        <item x="33"/>
        <item x="38"/>
        <item x="42"/>
        <item x="5"/>
        <item x="41"/>
        <item x="34"/>
        <item x="40"/>
        <item x="21"/>
        <item x="16"/>
        <item x="9"/>
        <item x="43"/>
        <item x="32"/>
        <item x="19"/>
        <item x="6"/>
        <item x="2"/>
        <item x="4"/>
        <item x="26"/>
        <item x="36"/>
        <item x="23"/>
        <item x="22"/>
        <item x="12"/>
        <item x="10"/>
        <item x="18"/>
        <item x="39"/>
        <item x="46"/>
        <item x="3"/>
        <item x="0"/>
        <item x="35"/>
        <item x="27"/>
        <item x="28"/>
        <item x="11"/>
        <item x="37"/>
        <item x="8"/>
        <item x="14"/>
        <item x="1"/>
        <item x="25"/>
        <item x="15"/>
        <item x="29"/>
        <item x="13"/>
        <item x="24"/>
        <item x="17"/>
        <item x="20"/>
        <item x="7"/>
        <item x="31"/>
        <item x="45"/>
        <item x="47"/>
        <item t="default"/>
      </items>
    </pivotField>
    <pivotField dataField="1" showAll="0">
      <items count="26">
        <item x="14"/>
        <item x="18"/>
        <item x="0"/>
        <item x="11"/>
        <item x="4"/>
        <item x="9"/>
        <item x="3"/>
        <item x="10"/>
        <item x="20"/>
        <item x="7"/>
        <item x="13"/>
        <item x="1"/>
        <item x="5"/>
        <item x="22"/>
        <item x="23"/>
        <item x="16"/>
        <item x="2"/>
        <item x="17"/>
        <item x="19"/>
        <item x="8"/>
        <item x="12"/>
        <item x="15"/>
        <item x="6"/>
        <item x="21"/>
        <item x="24"/>
        <item t="default"/>
      </items>
    </pivotField>
    <pivotField showAll="0">
      <items count="25">
        <item x="22"/>
        <item x="15"/>
        <item x="19"/>
        <item x="20"/>
        <item x="13"/>
        <item x="21"/>
        <item x="17"/>
        <item x="16"/>
        <item x="18"/>
        <item x="14"/>
        <item x="9"/>
        <item x="6"/>
        <item x="5"/>
        <item x="1"/>
        <item x="7"/>
        <item x="12"/>
        <item x="11"/>
        <item x="0"/>
        <item x="2"/>
        <item x="3"/>
        <item x="4"/>
        <item x="8"/>
        <item x="10"/>
        <item x="23"/>
        <item t="default"/>
      </items>
    </pivotField>
    <pivotField showAll="0"/>
    <pivotField showAll="0"/>
    <pivotField showAll="0"/>
  </pivotFields>
  <rowFields count="1">
    <field x="3"/>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Review" fld="4" baseField="3" baseItem="0"/>
  </dataFields>
  <formats count="3">
    <format dxfId="41">
      <pivotArea field="3" type="button" dataOnly="0" labelOnly="1" outline="0" axis="axisRow" fieldPosition="0"/>
    </format>
    <format dxfId="40">
      <pivotArea dataOnly="0" labelOnly="1" fieldPosition="0">
        <references count="1">
          <reference field="3" count="0"/>
        </references>
      </pivotArea>
    </format>
    <format dxfId="39">
      <pivotArea dataOnly="0" labelOnly="1" grandRow="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F191D2-D2DF-4412-9E89-17E098946BB1}" name="PivotTable18" cacheId="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28" firstHeaderRow="1" firstDataRow="1" firstDataCol="1"/>
  <pivotFields count="9">
    <pivotField showAll="0">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pivotField>
    <pivotField showAll="0"/>
    <pivotField showAll="0"/>
    <pivotField showAll="0">
      <items count="49">
        <item x="44"/>
        <item x="30"/>
        <item x="33"/>
        <item x="38"/>
        <item x="42"/>
        <item x="5"/>
        <item x="41"/>
        <item x="34"/>
        <item x="40"/>
        <item x="21"/>
        <item x="16"/>
        <item x="9"/>
        <item x="43"/>
        <item x="32"/>
        <item x="19"/>
        <item x="6"/>
        <item x="2"/>
        <item x="4"/>
        <item x="26"/>
        <item x="36"/>
        <item x="23"/>
        <item x="22"/>
        <item x="12"/>
        <item x="10"/>
        <item x="18"/>
        <item x="39"/>
        <item x="46"/>
        <item x="3"/>
        <item x="0"/>
        <item x="35"/>
        <item x="27"/>
        <item x="28"/>
        <item x="11"/>
        <item x="37"/>
        <item x="8"/>
        <item x="14"/>
        <item x="1"/>
        <item x="25"/>
        <item x="15"/>
        <item x="29"/>
        <item x="13"/>
        <item x="24"/>
        <item x="17"/>
        <item x="20"/>
        <item x="7"/>
        <item x="31"/>
        <item x="45"/>
        <item x="47"/>
        <item t="default"/>
      </items>
    </pivotField>
    <pivotField dataField="1" showAll="0">
      <items count="26">
        <item x="14"/>
        <item x="18"/>
        <item x="0"/>
        <item x="11"/>
        <item x="4"/>
        <item x="9"/>
        <item x="3"/>
        <item x="10"/>
        <item x="20"/>
        <item x="7"/>
        <item x="13"/>
        <item x="1"/>
        <item x="5"/>
        <item x="22"/>
        <item x="23"/>
        <item x="16"/>
        <item x="2"/>
        <item x="17"/>
        <item x="19"/>
        <item x="8"/>
        <item x="12"/>
        <item x="15"/>
        <item x="6"/>
        <item x="21"/>
        <item x="24"/>
        <item t="default"/>
      </items>
    </pivotField>
    <pivotField axis="axisRow" showAll="0" sortType="descending">
      <items count="25">
        <item x="23"/>
        <item x="10"/>
        <item x="8"/>
        <item x="4"/>
        <item x="3"/>
        <item x="2"/>
        <item x="0"/>
        <item x="11"/>
        <item x="12"/>
        <item x="7"/>
        <item x="1"/>
        <item x="5"/>
        <item x="6"/>
        <item x="9"/>
        <item x="14"/>
        <item x="18"/>
        <item x="16"/>
        <item x="17"/>
        <item x="21"/>
        <item x="13"/>
        <item x="20"/>
        <item x="19"/>
        <item x="15"/>
        <item x="22"/>
        <item t="default"/>
      </items>
    </pivotField>
    <pivotField showAll="0"/>
    <pivotField showAll="0">
      <items count="6">
        <item h="1" x="1"/>
        <item x="0"/>
        <item h="1" x="2"/>
        <item h="1" x="3"/>
        <item h="1" x="4"/>
        <item t="default"/>
      </items>
    </pivotField>
    <pivotField showAll="0"/>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iew"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4741A02-E588-4297-9E18-28534AD6104D}" name="PivotTable21" cacheId="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4" firstHeaderRow="1" firstDataRow="1" firstDataCol="1"/>
  <pivotFields count="9">
    <pivotField axis="axisRow" showAll="0">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pivotField>
    <pivotField numFmtId="164" showAll="0"/>
    <pivotField numFmtId="164" showAll="0"/>
    <pivotField dataField="1" showAll="0"/>
    <pivotField showAll="0"/>
    <pivotField showAll="0"/>
    <pivotField showAll="0"/>
    <pivotField showAll="0"/>
    <pivotField showAll="0">
      <items count="5">
        <item x="1"/>
        <item x="2"/>
        <item x="0"/>
        <item x="3"/>
        <item t="default"/>
      </items>
    </pivotField>
  </pivotFields>
  <rowFields count="1">
    <field x="0"/>
  </rowFields>
  <rowItems count="11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t="grand">
      <x/>
    </i>
  </rowItems>
  <colItems count="1">
    <i/>
  </colItems>
  <dataFields count="1">
    <dataField name="Sum of Discount" fld="3" baseField="0" baseItem="10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8B707B-1D7C-49FB-8544-7BF855BE615A}" name="PivotTable22" cacheId="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4" firstHeaderRow="1" firstDataRow="1" firstDataCol="1"/>
  <pivotFields count="9">
    <pivotField axis="axisRow" showAll="0">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pivotField>
    <pivotField numFmtId="164" showAll="0"/>
    <pivotField numFmtId="164" showAll="0"/>
    <pivotField showAll="0"/>
    <pivotField dataField="1" showAll="0"/>
    <pivotField showAll="0"/>
    <pivotField showAll="0"/>
    <pivotField showAll="0"/>
    <pivotField showAll="0">
      <items count="5">
        <item x="1"/>
        <item x="2"/>
        <item x="0"/>
        <item x="3"/>
        <item t="default"/>
      </items>
    </pivotField>
  </pivotFields>
  <rowFields count="1">
    <field x="0"/>
  </rowFields>
  <rowItems count="11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t="grand">
      <x/>
    </i>
  </rowItems>
  <colItems count="1">
    <i/>
  </colItems>
  <dataFields count="1">
    <dataField name="Sum of Review"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18EA909-2BB3-4F55-BD00-E9C8553B2384}" name="PivotTable23" cacheId="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location ref="A3:B114" firstHeaderRow="1" firstDataRow="1" firstDataCol="1"/>
  <pivotFields count="9">
    <pivotField axis="axisRow" showAll="0">
      <items count="111">
        <item x="38"/>
        <item x="11"/>
        <item n="r"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pivotField>
    <pivotField showAll="0"/>
    <pivotField showAll="0"/>
    <pivotField showAll="0">
      <items count="49">
        <item x="44"/>
        <item x="30"/>
        <item x="33"/>
        <item x="38"/>
        <item x="42"/>
        <item x="5"/>
        <item x="41"/>
        <item x="34"/>
        <item x="40"/>
        <item x="21"/>
        <item x="16"/>
        <item x="9"/>
        <item x="43"/>
        <item x="32"/>
        <item x="19"/>
        <item x="6"/>
        <item x="2"/>
        <item x="4"/>
        <item x="26"/>
        <item x="36"/>
        <item x="23"/>
        <item x="22"/>
        <item x="12"/>
        <item x="10"/>
        <item x="18"/>
        <item x="39"/>
        <item x="46"/>
        <item x="3"/>
        <item x="0"/>
        <item x="35"/>
        <item x="27"/>
        <item x="28"/>
        <item x="11"/>
        <item x="37"/>
        <item x="8"/>
        <item x="14"/>
        <item x="1"/>
        <item x="25"/>
        <item x="15"/>
        <item x="29"/>
        <item x="13"/>
        <item x="24"/>
        <item x="17"/>
        <item x="20"/>
        <item x="7"/>
        <item x="31"/>
        <item x="45"/>
        <item x="47"/>
        <item t="default"/>
      </items>
    </pivotField>
    <pivotField showAll="0">
      <items count="26">
        <item x="14"/>
        <item x="18"/>
        <item x="0"/>
        <item x="11"/>
        <item x="4"/>
        <item x="9"/>
        <item x="3"/>
        <item x="10"/>
        <item x="20"/>
        <item x="7"/>
        <item x="13"/>
        <item x="1"/>
        <item x="5"/>
        <item x="22"/>
        <item x="23"/>
        <item x="16"/>
        <item x="2"/>
        <item x="17"/>
        <item x="19"/>
        <item x="8"/>
        <item x="12"/>
        <item x="15"/>
        <item x="6"/>
        <item x="21"/>
        <item x="24"/>
        <item t="default"/>
      </items>
    </pivotField>
    <pivotField dataField="1" showAll="0">
      <items count="25">
        <item x="22"/>
        <item x="15"/>
        <item x="19"/>
        <item x="20"/>
        <item x="13"/>
        <item x="21"/>
        <item x="17"/>
        <item x="16"/>
        <item x="18"/>
        <item x="14"/>
        <item x="9"/>
        <item x="6"/>
        <item x="5"/>
        <item x="1"/>
        <item x="7"/>
        <item x="12"/>
        <item x="11"/>
        <item x="0"/>
        <item x="2"/>
        <item x="3"/>
        <item x="4"/>
        <item x="8"/>
        <item x="10"/>
        <item x="23"/>
        <item t="default"/>
      </items>
    </pivotField>
    <pivotField showAll="0"/>
    <pivotField showAll="0"/>
    <pivotField showAll="0"/>
  </pivotFields>
  <rowFields count="1">
    <field x="0"/>
  </rowFields>
  <rowItems count="11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t="grand">
      <x/>
    </i>
  </rowItems>
  <colItems count="1">
    <i/>
  </colItems>
  <dataFields count="1">
    <dataField name="Sum of Rating" fld="5" baseField="0" baseItem="1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9FD7329-DC09-4918-AC0C-A788B70E0E81}" name="PivotTable24" cacheId="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F28" firstHeaderRow="1" firstDataRow="2" firstDataCol="1"/>
  <pivotFields count="9">
    <pivotField showAll="0"/>
    <pivotField numFmtId="164" showAll="0"/>
    <pivotField numFmtId="164" showAll="0"/>
    <pivotField showAll="0"/>
    <pivotField dataField="1" showAll="0">
      <items count="26">
        <item x="14"/>
        <item x="18"/>
        <item x="0"/>
        <item x="11"/>
        <item x="4"/>
        <item x="9"/>
        <item x="3"/>
        <item x="10"/>
        <item x="20"/>
        <item x="7"/>
        <item x="13"/>
        <item x="1"/>
        <item x="5"/>
        <item x="22"/>
        <item x="23"/>
        <item x="16"/>
        <item x="2"/>
        <item x="17"/>
        <item x="19"/>
        <item x="8"/>
        <item x="12"/>
        <item x="15"/>
        <item x="6"/>
        <item x="21"/>
        <item x="24"/>
        <item t="default"/>
      </items>
    </pivotField>
    <pivotField axis="axisRow" showAll="0" avgSubtotal="1">
      <items count="24">
        <item x="22"/>
        <item x="15"/>
        <item x="19"/>
        <item x="20"/>
        <item x="13"/>
        <item x="21"/>
        <item x="17"/>
        <item x="16"/>
        <item x="18"/>
        <item x="14"/>
        <item x="9"/>
        <item x="6"/>
        <item x="5"/>
        <item x="1"/>
        <item x="7"/>
        <item x="12"/>
        <item x="11"/>
        <item x="0"/>
        <item x="2"/>
        <item x="3"/>
        <item x="4"/>
        <item x="8"/>
        <item x="10"/>
        <item t="avg"/>
      </items>
    </pivotField>
    <pivotField showAll="0">
      <items count="102">
        <item x="92"/>
        <item x="97"/>
        <item x="77"/>
        <item x="41"/>
        <item x="48"/>
        <item x="50"/>
        <item x="96"/>
        <item x="20"/>
        <item x="93"/>
        <item x="72"/>
        <item x="49"/>
        <item x="85"/>
        <item x="81"/>
        <item x="87"/>
        <item x="99"/>
        <item x="88"/>
        <item x="16"/>
        <item x="34"/>
        <item x="29"/>
        <item x="10"/>
        <item x="73"/>
        <item x="25"/>
        <item x="82"/>
        <item x="79"/>
        <item x="39"/>
        <item x="67"/>
        <item x="80"/>
        <item x="35"/>
        <item x="5"/>
        <item x="47"/>
        <item x="46"/>
        <item x="78"/>
        <item x="65"/>
        <item x="56"/>
        <item x="61"/>
        <item x="15"/>
        <item x="98"/>
        <item x="60"/>
        <item x="13"/>
        <item x="68"/>
        <item x="52"/>
        <item x="59"/>
        <item x="40"/>
        <item x="38"/>
        <item x="22"/>
        <item x="1"/>
        <item x="12"/>
        <item x="23"/>
        <item x="89"/>
        <item x="11"/>
        <item x="57"/>
        <item x="51"/>
        <item x="0"/>
        <item x="94"/>
        <item x="7"/>
        <item x="43"/>
        <item x="4"/>
        <item x="95"/>
        <item x="26"/>
        <item x="53"/>
        <item x="44"/>
        <item x="71"/>
        <item x="18"/>
        <item x="31"/>
        <item x="6"/>
        <item x="32"/>
        <item x="2"/>
        <item x="27"/>
        <item x="45"/>
        <item x="54"/>
        <item x="90"/>
        <item x="86"/>
        <item x="14"/>
        <item x="62"/>
        <item x="76"/>
        <item x="69"/>
        <item x="83"/>
        <item x="36"/>
        <item x="3"/>
        <item x="66"/>
        <item x="75"/>
        <item x="91"/>
        <item x="19"/>
        <item x="63"/>
        <item x="42"/>
        <item x="74"/>
        <item x="55"/>
        <item x="33"/>
        <item x="84"/>
        <item x="9"/>
        <item x="21"/>
        <item x="70"/>
        <item x="8"/>
        <item x="30"/>
        <item x="37"/>
        <item x="28"/>
        <item x="17"/>
        <item x="64"/>
        <item x="24"/>
        <item x="58"/>
        <item x="100"/>
        <item t="default"/>
      </items>
    </pivotField>
    <pivotField showAll="0"/>
    <pivotField axis="axisCol" showAll="0">
      <items count="5">
        <item x="1"/>
        <item x="2"/>
        <item x="0"/>
        <item x="3"/>
        <item t="default"/>
      </items>
    </pivotField>
  </pivotFields>
  <rowFields count="1">
    <field x="5"/>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8"/>
  </colFields>
  <colItems count="5">
    <i>
      <x/>
    </i>
    <i>
      <x v="1"/>
    </i>
    <i>
      <x v="2"/>
    </i>
    <i>
      <x v="3"/>
    </i>
    <i t="grand">
      <x/>
    </i>
  </colItems>
  <dataFields count="1">
    <dataField name="Average of Review" fld="4" subtotal="average" baseField="5" baseItem="0"/>
  </dataFields>
  <chartFormats count="4">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49DCEA3-CC49-424E-B4A8-4B1C36ED310F}" name="PivotTable25" cacheId="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14" firstHeaderRow="0" firstDataRow="1" firstDataCol="1"/>
  <pivotFields count="9">
    <pivotField axis="axisRow" dataField="1" showAll="0" sumSubtotal="1">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sum"/>
      </items>
    </pivotField>
    <pivotField showAll="0"/>
    <pivotField showAll="0"/>
    <pivotField showAll="0">
      <items count="49">
        <item x="44"/>
        <item x="30"/>
        <item x="33"/>
        <item x="38"/>
        <item x="42"/>
        <item x="5"/>
        <item x="41"/>
        <item x="34"/>
        <item x="40"/>
        <item x="21"/>
        <item x="16"/>
        <item x="9"/>
        <item x="43"/>
        <item x="32"/>
        <item x="19"/>
        <item x="6"/>
        <item x="2"/>
        <item x="4"/>
        <item x="26"/>
        <item x="36"/>
        <item x="23"/>
        <item x="22"/>
        <item x="12"/>
        <item x="10"/>
        <item x="18"/>
        <item x="39"/>
        <item x="46"/>
        <item x="3"/>
        <item x="0"/>
        <item x="35"/>
        <item x="27"/>
        <item x="28"/>
        <item x="11"/>
        <item x="37"/>
        <item x="8"/>
        <item x="14"/>
        <item x="1"/>
        <item x="25"/>
        <item x="15"/>
        <item x="29"/>
        <item x="13"/>
        <item x="24"/>
        <item x="17"/>
        <item x="20"/>
        <item x="7"/>
        <item x="31"/>
        <item x="45"/>
        <item x="47"/>
        <item t="default"/>
      </items>
    </pivotField>
    <pivotField showAll="0">
      <items count="26">
        <item x="14"/>
        <item x="18"/>
        <item x="0"/>
        <item x="11"/>
        <item x="4"/>
        <item x="9"/>
        <item x="3"/>
        <item x="10"/>
        <item x="20"/>
        <item x="7"/>
        <item x="13"/>
        <item x="1"/>
        <item x="5"/>
        <item x="22"/>
        <item x="23"/>
        <item x="16"/>
        <item x="2"/>
        <item x="17"/>
        <item x="19"/>
        <item x="8"/>
        <item x="12"/>
        <item x="15"/>
        <item x="6"/>
        <item x="21"/>
        <item x="24"/>
        <item t="default"/>
      </items>
    </pivotField>
    <pivotField dataField="1" showAll="0" avgSubtotal="1">
      <items count="25">
        <item x="22"/>
        <item x="15"/>
        <item x="19"/>
        <item x="20"/>
        <item x="13"/>
        <item x="21"/>
        <item x="17"/>
        <item x="16"/>
        <item x="18"/>
        <item x="14"/>
        <item x="9"/>
        <item x="6"/>
        <item x="5"/>
        <item x="1"/>
        <item x="7"/>
        <item x="12"/>
        <item x="11"/>
        <item x="0"/>
        <item x="2"/>
        <item x="3"/>
        <item x="4"/>
        <item x="8"/>
        <item x="10"/>
        <item x="23"/>
        <item t="avg"/>
      </items>
    </pivotField>
    <pivotField showAll="0"/>
    <pivotField showAll="0"/>
    <pivotField showAll="0"/>
  </pivotFields>
  <rowFields count="1">
    <field x="0"/>
  </rowFields>
  <rowItems count="11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t="grand">
      <x/>
    </i>
  </rowItems>
  <colFields count="1">
    <field x="-2"/>
  </colFields>
  <colItems count="2">
    <i>
      <x/>
    </i>
    <i i="1">
      <x v="1"/>
    </i>
  </colItems>
  <dataFields count="2">
    <dataField name="Count of Product" fld="0" subtotal="count" baseField="0" baseItem="0"/>
    <dataField name="Average of Rating" fld="5" subtotal="average" baseField="0" baseItem="17"/>
  </dataFields>
  <chartFormats count="4">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58BAEC6-017D-4829-AB40-94C7C46A410C}" name="PivotTable26" cacheId="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4" firstHeaderRow="0" firstDataRow="1" firstDataCol="0"/>
  <pivotFields count="9">
    <pivotField showAll="0">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pivotField>
    <pivotField showAll="0"/>
    <pivotField showAll="0"/>
    <pivotField dataField="1" showAll="0">
      <items count="49">
        <item x="44"/>
        <item x="30"/>
        <item x="33"/>
        <item x="38"/>
        <item x="42"/>
        <item x="5"/>
        <item x="41"/>
        <item x="34"/>
        <item x="40"/>
        <item x="21"/>
        <item x="16"/>
        <item x="9"/>
        <item x="43"/>
        <item x="32"/>
        <item x="19"/>
        <item x="6"/>
        <item x="2"/>
        <item x="4"/>
        <item x="26"/>
        <item x="36"/>
        <item x="23"/>
        <item x="22"/>
        <item x="12"/>
        <item x="10"/>
        <item x="18"/>
        <item x="39"/>
        <item x="46"/>
        <item x="3"/>
        <item x="0"/>
        <item x="35"/>
        <item x="27"/>
        <item x="28"/>
        <item x="11"/>
        <item x="37"/>
        <item x="8"/>
        <item x="14"/>
        <item x="1"/>
        <item x="25"/>
        <item x="15"/>
        <item x="29"/>
        <item x="13"/>
        <item x="24"/>
        <item x="17"/>
        <item x="20"/>
        <item x="7"/>
        <item x="31"/>
        <item x="45"/>
        <item x="47"/>
        <item t="default"/>
      </items>
    </pivotField>
    <pivotField dataField="1" showAll="0">
      <items count="26">
        <item x="14"/>
        <item x="18"/>
        <item x="0"/>
        <item x="11"/>
        <item x="4"/>
        <item x="9"/>
        <item x="3"/>
        <item x="10"/>
        <item x="20"/>
        <item x="7"/>
        <item x="13"/>
        <item x="1"/>
        <item x="5"/>
        <item x="22"/>
        <item x="23"/>
        <item x="16"/>
        <item x="2"/>
        <item x="17"/>
        <item x="19"/>
        <item x="8"/>
        <item x="12"/>
        <item x="15"/>
        <item x="6"/>
        <item x="21"/>
        <item x="24"/>
        <item t="default"/>
      </items>
    </pivotField>
    <pivotField showAll="0">
      <items count="25">
        <item x="22"/>
        <item x="15"/>
        <item x="19"/>
        <item x="20"/>
        <item x="13"/>
        <item x="21"/>
        <item x="17"/>
        <item x="16"/>
        <item x="18"/>
        <item x="14"/>
        <item x="9"/>
        <item x="6"/>
        <item x="5"/>
        <item x="1"/>
        <item x="7"/>
        <item x="12"/>
        <item x="11"/>
        <item x="0"/>
        <item x="2"/>
        <item x="3"/>
        <item x="4"/>
        <item x="8"/>
        <item x="10"/>
        <item x="23"/>
        <item t="default"/>
      </items>
    </pivotField>
    <pivotField showAll="0"/>
    <pivotField showAll="0"/>
    <pivotField showAll="0"/>
  </pivotFields>
  <rowItems count="1">
    <i/>
  </rowItems>
  <colFields count="1">
    <field x="-2"/>
  </colFields>
  <colItems count="2">
    <i>
      <x/>
    </i>
    <i i="1">
      <x v="1"/>
    </i>
  </colItems>
  <dataFields count="2">
    <dataField name="Average of Discount" fld="3" subtotal="average" baseField="0" baseItem="1"/>
    <dataField name="Count of Review" fld="4" subtotal="count" baseField="0" baseItem="1"/>
  </dataField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scount_Category" xr10:uid="{0398EF16-4519-4CA8-ABBD-EC105245A375}" sourceName="Dscount Category">
  <pivotTables>
    <pivotTable tabId="14" name="PivotTable24"/>
    <pivotTable tabId="11" name="PivotTable21"/>
    <pivotTable tabId="12" name="PivotTable22"/>
  </pivotTables>
  <data>
    <tabular pivotCacheId="612625920">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8EC9621-F241-4461-86D4-7DC4BB32BCA9}" sourceName="Product">
  <pivotTables>
    <pivotTable tabId="15" name="PivotTable25"/>
    <pivotTable tabId="5" name="PivotTable15"/>
    <pivotTable tabId="6" name="PivotTable16"/>
    <pivotTable tabId="8" name="PivotTable18"/>
    <pivotTable tabId="7" name="PivotTable17"/>
    <pivotTable tabId="13" name="PivotTable23"/>
    <pivotTable tabId="18" name="PivotTable26"/>
  </pivotTables>
  <data>
    <tabular pivotCacheId="1824247350">
      <items count="110">
        <i x="38" s="1"/>
        <i x="11" s="1"/>
        <i x="27" s="1"/>
        <i x="31" s="1"/>
        <i x="61" s="1"/>
        <i x="57" s="1"/>
        <i x="9" s="1"/>
        <i x="6" s="1"/>
        <i x="101" s="1"/>
        <i x="80" s="1"/>
        <i x="5" s="1"/>
        <i x="100" s="1"/>
        <i x="91" s="1"/>
        <i x="47" s="1"/>
        <i x="73" s="1"/>
        <i x="66" s="1"/>
        <i x="65" s="1"/>
        <i x="19" s="1"/>
        <i x="74" s="1"/>
        <i x="20" s="1"/>
        <i x="94" s="1"/>
        <i x="12" s="1"/>
        <i x="40" s="1"/>
        <i x="21" s="1"/>
        <i x="58" s="1"/>
        <i x="28" s="1"/>
        <i x="34" s="1"/>
        <i x="33" s="1"/>
        <i x="79" s="1"/>
        <i x="60" s="1"/>
        <i x="106" s="1"/>
        <i x="90" s="1"/>
        <i x="45" s="1"/>
        <i x="76" s="1"/>
        <i x="71" s="1"/>
        <i x="97" s="1"/>
        <i x="99" s="1"/>
        <i x="67" s="1"/>
        <i x="56" s="1"/>
        <i x="15" s="1"/>
        <i x="64" s="1"/>
        <i x="96" s="1"/>
        <i x="42" s="1"/>
        <i x="78" s="1"/>
        <i x="108" s="1"/>
        <i x="49" s="1"/>
        <i x="46" s="1"/>
        <i x="83" s="1"/>
        <i x="103" s="1"/>
        <i x="44" s="1"/>
        <i x="55" s="1"/>
        <i x="36" s="1"/>
        <i x="48" s="1"/>
        <i x="75" s="1"/>
        <i x="53" s="1"/>
        <i x="7" s="1"/>
        <i x="35" s="1"/>
        <i x="72" s="1"/>
        <i x="25" s="1"/>
        <i x="30" s="1"/>
        <i x="23" s="1"/>
        <i x="10" s="1"/>
        <i x="81" s="1"/>
        <i x="62" s="1"/>
        <i x="98" s="1"/>
        <i x="68" s="1"/>
        <i x="24" s="1"/>
        <i x="17" s="1"/>
        <i x="13" s="1"/>
        <i x="8" s="1"/>
        <i x="39" s="1"/>
        <i x="32" s="1"/>
        <i x="22" s="1"/>
        <i x="102" s="1"/>
        <i x="18" s="1"/>
        <i x="77" s="1"/>
        <i x="1" s="1"/>
        <i x="95" s="1"/>
        <i x="41" s="1"/>
        <i x="14" s="1"/>
        <i x="86" s="1"/>
        <i x="29" s="1"/>
        <i x="52" s="1"/>
        <i x="59" s="1"/>
        <i x="82" s="1"/>
        <i x="84" s="1"/>
        <i x="16" s="1"/>
        <i x="50" s="1"/>
        <i x="51" s="1"/>
        <i x="4" s="1"/>
        <i x="2" s="1"/>
        <i x="93" s="1"/>
        <i x="26" s="1"/>
        <i x="88" s="1"/>
        <i x="37" s="1"/>
        <i x="0" s="1"/>
        <i x="89" s="1"/>
        <i x="43" s="1"/>
        <i x="104" s="1"/>
        <i x="54" s="1"/>
        <i x="105" s="1"/>
        <i x="63" s="1"/>
        <i x="87" s="1"/>
        <i x="92" s="1"/>
        <i x="107" s="1"/>
        <i x="85" s="1"/>
        <i x="69" s="1"/>
        <i x="3" s="1"/>
        <i x="70" s="1"/>
        <i x="10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1" xr10:uid="{20184A49-5B44-4732-BE56-0D13552B96D7}" sourceName="Rating">
  <pivotTables>
    <pivotTable tabId="15" name="PivotTable25"/>
    <pivotTable tabId="6" name="PivotTable16"/>
    <pivotTable tabId="5" name="PivotTable15"/>
    <pivotTable tabId="8" name="PivotTable18"/>
    <pivotTable tabId="7" name="PivotTable17"/>
    <pivotTable tabId="13" name="PivotTable23"/>
    <pivotTable tabId="18" name="PivotTable26"/>
  </pivotTables>
  <data>
    <tabular pivotCacheId="1824247350">
      <items count="24">
        <i x="22" s="1"/>
        <i x="15" s="1"/>
        <i x="19" s="1"/>
        <i x="20" s="1"/>
        <i x="13" s="1"/>
        <i x="21" s="1"/>
        <i x="17" s="1"/>
        <i x="16" s="1"/>
        <i x="18" s="1"/>
        <i x="14" s="1"/>
        <i x="9" s="1"/>
        <i x="6" s="1"/>
        <i x="5" s="1"/>
        <i x="1" s="1"/>
        <i x="7" s="1"/>
        <i x="12" s="1"/>
        <i x="11" s="1"/>
        <i x="0" s="1"/>
        <i x="2" s="1"/>
        <i x="3" s="1"/>
        <i x="4" s="1"/>
        <i x="8" s="1"/>
        <i x="10" s="1"/>
        <i x="2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1" xr10:uid="{81024E31-4DFC-4BAF-AD49-A9962988EC09}" sourceName="Discount">
  <pivotTables>
    <pivotTable tabId="18" name="PivotTable26"/>
    <pivotTable tabId="6" name="PivotTable16"/>
    <pivotTable tabId="5" name="PivotTable15"/>
    <pivotTable tabId="7" name="PivotTable17"/>
    <pivotTable tabId="15" name="PivotTable25"/>
    <pivotTable tabId="8" name="PivotTable18"/>
    <pivotTable tabId="13" name="PivotTable23"/>
  </pivotTables>
  <data>
    <tabular pivotCacheId="1824247350">
      <items count="48">
        <i x="44" s="1"/>
        <i x="30" s="1"/>
        <i x="33" s="1"/>
        <i x="38" s="1"/>
        <i x="42" s="1"/>
        <i x="5" s="1"/>
        <i x="41" s="1"/>
        <i x="34" s="1"/>
        <i x="40" s="1"/>
        <i x="21" s="1"/>
        <i x="16" s="1"/>
        <i x="9" s="1"/>
        <i x="43" s="1"/>
        <i x="32" s="1"/>
        <i x="19" s="1"/>
        <i x="6" s="1"/>
        <i x="2" s="1"/>
        <i x="4" s="1"/>
        <i x="26" s="1"/>
        <i x="36" s="1"/>
        <i x="23" s="1"/>
        <i x="22" s="1"/>
        <i x="12" s="1"/>
        <i x="10" s="1"/>
        <i x="18" s="1"/>
        <i x="39" s="1"/>
        <i x="46" s="1"/>
        <i x="3" s="1"/>
        <i x="0" s="1"/>
        <i x="35" s="1"/>
        <i x="27" s="1"/>
        <i x="28" s="1"/>
        <i x="11" s="1"/>
        <i x="37" s="1"/>
        <i x="8" s="1"/>
        <i x="14" s="1"/>
        <i x="1" s="1"/>
        <i x="25" s="1"/>
        <i x="15" s="1"/>
        <i x="29" s="1"/>
        <i x="13" s="1"/>
        <i x="24" s="1"/>
        <i x="17" s="1"/>
        <i x="20" s="1"/>
        <i x="7" s="1"/>
        <i x="31" s="1"/>
        <i x="45" s="1"/>
        <i x="47"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iew" xr10:uid="{E9ADD122-A96A-4B1A-815A-8862EAE4E43A}" sourceName="Review">
  <pivotTables>
    <pivotTable tabId="18" name="PivotTable26"/>
    <pivotTable tabId="7" name="PivotTable17"/>
    <pivotTable tabId="5" name="PivotTable15"/>
    <pivotTable tabId="6" name="PivotTable16"/>
    <pivotTable tabId="8" name="PivotTable18"/>
    <pivotTable tabId="15" name="PivotTable25"/>
    <pivotTable tabId="13" name="PivotTable23"/>
  </pivotTables>
  <data>
    <tabular pivotCacheId="1824247350">
      <items count="25">
        <i x="14" s="1"/>
        <i x="18" s="1"/>
        <i x="0" s="1"/>
        <i x="11" s="1"/>
        <i x="4" s="1"/>
        <i x="9" s="1"/>
        <i x="3" s="1"/>
        <i x="10" s="1"/>
        <i x="20" s="1"/>
        <i x="7" s="1"/>
        <i x="13" s="1"/>
        <i x="1" s="1"/>
        <i x="5" s="1"/>
        <i x="22" s="1"/>
        <i x="23" s="1"/>
        <i x="16" s="1"/>
        <i x="2" s="1"/>
        <i x="17" s="1"/>
        <i x="19" s="1"/>
        <i x="8" s="1"/>
        <i x="12" s="1"/>
        <i x="15" s="1"/>
        <i x="6" s="1"/>
        <i x="21" s="1"/>
        <i x="2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3" xr10:uid="{6FEA4D21-0991-473B-B1E4-172BE4CB6567}" cache="Slicer_Rating1" caption="Rating" rowHeight="241300"/>
  <slicer name="Discount 2" xr10:uid="{BC518DB6-8B94-44F2-BDF1-B60EB28339E8}" cache="Slicer_Discount1" caption="Discoun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2" xr10:uid="{25FFB846-BE3F-4BA4-81EF-1B3408525FAC}" cache="Slicer_Product" caption="Product"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xr10:uid="{C5333A8C-5170-4765-80FC-5D8FB3DA9E32}" cache="Slicer_Discount1" caption="Discount" rowHeight="241300"/>
  <slicer name="Review" xr10:uid="{252D0DCC-CC56-4B23-B1FB-DED959166F23}" cache="Slicer_Review" caption="Review"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xr10:uid="{311FF0F6-C2B4-403D-B7B7-C3F3FF6928FF}" cache="Slicer_Rating1" caption="Rating" rowHeight="241300"/>
  <slicer name="Review 1" xr10:uid="{4A8A122B-5685-479A-9D95-DBB4289316E1}" cache="Slicer_Review" caption="Review"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scount Category" xr10:uid="{23E15A2D-DF4C-47BE-82A5-49A7B0329A68}" cache="Slicer_Dscount_Category" caption="Dscount Category"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5BDF8280-755A-42CA-A9B1-93A392C01D6F}" cache="Slicer_Product" caption="Product" rowHeight="241300"/>
  <slicer name="Product 1" xr10:uid="{61014883-992D-4C14-AFC1-ADF0452859FE}" cache="Slicer_Product" caption="Product" rowHeight="241300"/>
  <slicer name="Rating 1" xr10:uid="{0C747A25-FE8D-48D4-A8FC-9C0370094010}" cache="Slicer_Rating1" caption="Rating" rowHeight="241300"/>
  <slicer name="Rating 2" xr10:uid="{090FB242-0397-474B-BDDB-79E992AD4DBE}" cache="Slicer_Rating1" caption="Rating" rowHeight="2413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1" xr10:uid="{051C66D1-62F9-49ED-B64F-F4CB579CEEA0}" cache="Slicer_Discount1" caption="Discount" rowHeight="241300"/>
  <slicer name="Review 2" xr10:uid="{016B4311-B6E7-41F0-B747-74C9676C20DF}" cache="Slicer_Review" caption="Review" rowHeight="24130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3" xr10:uid="{E9433DC3-5592-4F47-8E24-7EA34E5DB679}" cache="Slicer_Product" caption="Product" rowHeight="241300"/>
  <slicer name="Rating 4" xr10:uid="{0DE7C786-AE9C-4DFC-ACE8-55B1497A2C59}" cache="Slicer_Rating1" caption="Rating" rowHeight="241300"/>
  <slicer name="Discount 3" xr10:uid="{B340B290-6F20-4951-BF67-0EC0219E24F8}" cache="Slicer_Discount1" caption="Discount" startItem="40"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7.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2" Type="http://schemas.microsoft.com/office/2007/relationships/slicer" Target="../slicers/slicer8.xml"/><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CA833-2D47-4FD8-8E63-9DEE30F6F133}">
  <dimension ref="A3:C8"/>
  <sheetViews>
    <sheetView topLeftCell="C1" workbookViewId="0">
      <selection activeCell="C7" sqref="C7"/>
    </sheetView>
  </sheetViews>
  <sheetFormatPr defaultRowHeight="14.5" x14ac:dyDescent="0.35"/>
  <cols>
    <col min="1" max="1" width="12.36328125" bestFit="1" customWidth="1"/>
    <col min="2" max="2" width="15.54296875" bestFit="1" customWidth="1"/>
    <col min="3" max="3" width="17.7265625" bestFit="1" customWidth="1"/>
    <col min="4" max="4" width="14.54296875" bestFit="1" customWidth="1"/>
  </cols>
  <sheetData>
    <row r="3" spans="1:3" x14ac:dyDescent="0.35">
      <c r="A3" s="5" t="s">
        <v>122</v>
      </c>
      <c r="B3" t="s">
        <v>134</v>
      </c>
      <c r="C3" t="s">
        <v>126</v>
      </c>
    </row>
    <row r="4" spans="1:3" x14ac:dyDescent="0.35">
      <c r="A4" s="6" t="s">
        <v>131</v>
      </c>
      <c r="B4" s="1">
        <v>3.6133333333333324</v>
      </c>
      <c r="C4" s="7">
        <v>0.48203389830508458</v>
      </c>
    </row>
    <row r="5" spans="1:3" x14ac:dyDescent="0.35">
      <c r="A5" s="6" t="s">
        <v>132</v>
      </c>
      <c r="B5" s="1">
        <v>3.7249999999999996</v>
      </c>
      <c r="C5" s="7">
        <v>7.2222222222222243E-2</v>
      </c>
    </row>
    <row r="6" spans="1:3" x14ac:dyDescent="0.35">
      <c r="A6" s="6" t="s">
        <v>133</v>
      </c>
      <c r="B6" s="1">
        <v>4.2782608695652184</v>
      </c>
      <c r="C6" s="7">
        <v>0.30999999999999994</v>
      </c>
    </row>
    <row r="7" spans="1:3" x14ac:dyDescent="0.35">
      <c r="A7" s="6" t="s">
        <v>123</v>
      </c>
      <c r="B7" s="1">
        <v>2</v>
      </c>
      <c r="C7" s="7">
        <v>0.36385321100917423</v>
      </c>
    </row>
    <row r="8" spans="1:3" x14ac:dyDescent="0.35">
      <c r="A8" s="6" t="s">
        <v>124</v>
      </c>
      <c r="B8" s="1">
        <v>3.8568965517241369</v>
      </c>
      <c r="C8" s="7">
        <v>0.36385321100917439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0A2BB-E49C-4043-9DA7-11796097BB8C}">
  <dimension ref="A3:B9"/>
  <sheetViews>
    <sheetView workbookViewId="0">
      <selection activeCell="D4" sqref="D4"/>
    </sheetView>
  </sheetViews>
  <sheetFormatPr defaultRowHeight="14.5" x14ac:dyDescent="0.35"/>
  <cols>
    <col min="1" max="1" width="12.36328125" bestFit="1" customWidth="1"/>
    <col min="2" max="2" width="15.26953125" bestFit="1" customWidth="1"/>
  </cols>
  <sheetData>
    <row r="3" spans="1:2" x14ac:dyDescent="0.35">
      <c r="A3" s="5" t="s">
        <v>122</v>
      </c>
      <c r="B3" t="s">
        <v>135</v>
      </c>
    </row>
    <row r="4" spans="1:2" x14ac:dyDescent="0.35">
      <c r="A4" s="6" t="s">
        <v>128</v>
      </c>
      <c r="B4" s="1">
        <v>22</v>
      </c>
    </row>
    <row r="5" spans="1:2" x14ac:dyDescent="0.35">
      <c r="A5" s="6" t="s">
        <v>129</v>
      </c>
      <c r="B5" s="1">
        <v>23</v>
      </c>
    </row>
    <row r="6" spans="1:2" x14ac:dyDescent="0.35">
      <c r="A6" s="6" t="s">
        <v>130</v>
      </c>
      <c r="B6" s="1">
        <v>52</v>
      </c>
    </row>
    <row r="7" spans="1:2" x14ac:dyDescent="0.35">
      <c r="A7" s="6" t="s">
        <v>127</v>
      </c>
      <c r="B7" s="1">
        <v>12</v>
      </c>
    </row>
    <row r="8" spans="1:2" x14ac:dyDescent="0.35">
      <c r="A8" s="6" t="s">
        <v>123</v>
      </c>
      <c r="B8" s="1"/>
    </row>
    <row r="9" spans="1:2" x14ac:dyDescent="0.35">
      <c r="A9" s="6" t="s">
        <v>124</v>
      </c>
      <c r="B9" s="1">
        <v>109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CE4C3-1448-4BB3-989A-C6607BB671C6}">
  <dimension ref="A3:M52"/>
  <sheetViews>
    <sheetView topLeftCell="A2" zoomScaleNormal="100" workbookViewId="0">
      <selection activeCell="M20" sqref="M20"/>
    </sheetView>
  </sheetViews>
  <sheetFormatPr defaultRowHeight="14.5" x14ac:dyDescent="0.35"/>
  <cols>
    <col min="1" max="1" width="12.36328125" style="7" bestFit="1" customWidth="1"/>
    <col min="2" max="2" width="13.08984375" bestFit="1" customWidth="1"/>
  </cols>
  <sheetData>
    <row r="3" spans="1:2" x14ac:dyDescent="0.35">
      <c r="A3" s="8" t="s">
        <v>122</v>
      </c>
      <c r="B3" t="s">
        <v>136</v>
      </c>
    </row>
    <row r="4" spans="1:2" x14ac:dyDescent="0.35">
      <c r="A4" s="9">
        <v>0.01</v>
      </c>
      <c r="B4" s="1">
        <v>0</v>
      </c>
    </row>
    <row r="5" spans="1:2" x14ac:dyDescent="0.35">
      <c r="A5" s="9">
        <v>0.02</v>
      </c>
      <c r="B5" s="1">
        <v>0</v>
      </c>
    </row>
    <row r="6" spans="1:2" x14ac:dyDescent="0.35">
      <c r="A6" s="9">
        <v>0.03</v>
      </c>
      <c r="B6" s="1">
        <v>0</v>
      </c>
    </row>
    <row r="7" spans="1:2" x14ac:dyDescent="0.35">
      <c r="A7" s="9">
        <v>0.04</v>
      </c>
      <c r="B7" s="1">
        <v>0</v>
      </c>
    </row>
    <row r="8" spans="1:2" x14ac:dyDescent="0.35">
      <c r="A8" s="9">
        <v>0.08</v>
      </c>
      <c r="B8" s="1">
        <v>0</v>
      </c>
    </row>
    <row r="9" spans="1:2" x14ac:dyDescent="0.35">
      <c r="A9" s="9">
        <v>0.09</v>
      </c>
      <c r="B9" s="1">
        <v>15</v>
      </c>
    </row>
    <row r="10" spans="1:2" x14ac:dyDescent="0.35">
      <c r="A10" s="9">
        <v>0.11</v>
      </c>
      <c r="B10" s="1">
        <v>0</v>
      </c>
    </row>
    <row r="11" spans="1:2" x14ac:dyDescent="0.35">
      <c r="A11" s="9">
        <v>0.13</v>
      </c>
      <c r="B11" s="1">
        <v>6</v>
      </c>
    </row>
    <row r="12" spans="1:2" x14ac:dyDescent="0.35">
      <c r="A12" s="9">
        <v>0.14000000000000001</v>
      </c>
      <c r="B12" s="1">
        <v>0</v>
      </c>
    </row>
    <row r="13" spans="1:2" x14ac:dyDescent="0.35">
      <c r="A13" s="9">
        <v>0.18</v>
      </c>
      <c r="B13" s="1">
        <v>12</v>
      </c>
    </row>
    <row r="14" spans="1:2" x14ac:dyDescent="0.35">
      <c r="A14" s="9">
        <v>0.19</v>
      </c>
      <c r="B14" s="1">
        <v>5</v>
      </c>
    </row>
    <row r="15" spans="1:2" x14ac:dyDescent="0.35">
      <c r="A15" s="9">
        <v>0.2</v>
      </c>
      <c r="B15" s="1">
        <v>12</v>
      </c>
    </row>
    <row r="16" spans="1:2" x14ac:dyDescent="0.35">
      <c r="A16" s="9">
        <v>0.21</v>
      </c>
      <c r="B16" s="1">
        <v>1</v>
      </c>
    </row>
    <row r="17" spans="1:13" x14ac:dyDescent="0.35">
      <c r="A17" s="9">
        <v>0.22</v>
      </c>
      <c r="B17" s="1">
        <v>16</v>
      </c>
    </row>
    <row r="18" spans="1:13" x14ac:dyDescent="0.35">
      <c r="A18" s="9">
        <v>0.23</v>
      </c>
      <c r="B18" s="1">
        <v>14</v>
      </c>
    </row>
    <row r="19" spans="1:13" x14ac:dyDescent="0.35">
      <c r="A19" s="9">
        <v>0.24</v>
      </c>
      <c r="B19" s="1">
        <v>55</v>
      </c>
      <c r="M19" t="s">
        <v>138</v>
      </c>
    </row>
    <row r="20" spans="1:13" x14ac:dyDescent="0.35">
      <c r="A20" s="9">
        <v>0.25</v>
      </c>
      <c r="B20" s="1">
        <v>24</v>
      </c>
    </row>
    <row r="21" spans="1:13" x14ac:dyDescent="0.35">
      <c r="A21" s="9">
        <v>0.26</v>
      </c>
      <c r="B21" s="1">
        <v>5</v>
      </c>
    </row>
    <row r="22" spans="1:13" x14ac:dyDescent="0.35">
      <c r="A22" s="9">
        <v>0.27</v>
      </c>
      <c r="B22" s="1">
        <v>52</v>
      </c>
    </row>
    <row r="23" spans="1:13" x14ac:dyDescent="0.35">
      <c r="A23" s="9">
        <v>0.28999999999999998</v>
      </c>
      <c r="B23" s="1">
        <v>5</v>
      </c>
    </row>
    <row r="24" spans="1:13" x14ac:dyDescent="0.35">
      <c r="A24" s="9">
        <v>0.3</v>
      </c>
      <c r="B24" s="1">
        <v>20</v>
      </c>
    </row>
    <row r="25" spans="1:13" x14ac:dyDescent="0.35">
      <c r="A25" s="9">
        <v>0.32</v>
      </c>
      <c r="B25" s="1">
        <v>13</v>
      </c>
    </row>
    <row r="26" spans="1:13" x14ac:dyDescent="0.35">
      <c r="A26" s="9">
        <v>0.33</v>
      </c>
      <c r="B26" s="1">
        <v>9</v>
      </c>
    </row>
    <row r="27" spans="1:13" x14ac:dyDescent="0.35">
      <c r="A27" s="9">
        <v>0.34</v>
      </c>
      <c r="B27" s="1">
        <v>51</v>
      </c>
    </row>
    <row r="28" spans="1:13" x14ac:dyDescent="0.35">
      <c r="A28" s="9">
        <v>0.35</v>
      </c>
      <c r="B28" s="1">
        <v>55</v>
      </c>
    </row>
    <row r="29" spans="1:13" x14ac:dyDescent="0.35">
      <c r="A29" s="9">
        <v>0.36</v>
      </c>
      <c r="B29" s="1">
        <v>0</v>
      </c>
    </row>
    <row r="30" spans="1:13" x14ac:dyDescent="0.35">
      <c r="A30" s="9">
        <v>0.36385321100917423</v>
      </c>
      <c r="B30" s="1"/>
    </row>
    <row r="31" spans="1:13" x14ac:dyDescent="0.35">
      <c r="A31" s="9">
        <v>0.37</v>
      </c>
      <c r="B31" s="1">
        <v>9</v>
      </c>
    </row>
    <row r="32" spans="1:13" x14ac:dyDescent="0.35">
      <c r="A32" s="9">
        <v>0.38</v>
      </c>
      <c r="B32" s="1">
        <v>4</v>
      </c>
    </row>
    <row r="33" spans="1:2" x14ac:dyDescent="0.35">
      <c r="A33" s="9">
        <v>0.39</v>
      </c>
      <c r="B33" s="1">
        <v>5</v>
      </c>
    </row>
    <row r="34" spans="1:2" x14ac:dyDescent="0.35">
      <c r="A34" s="9">
        <v>0.4</v>
      </c>
      <c r="B34" s="1">
        <v>1</v>
      </c>
    </row>
    <row r="35" spans="1:2" x14ac:dyDescent="0.35">
      <c r="A35" s="9">
        <v>0.41</v>
      </c>
      <c r="B35" s="1">
        <v>36</v>
      </c>
    </row>
    <row r="36" spans="1:2" x14ac:dyDescent="0.35">
      <c r="A36" s="9">
        <v>0.42</v>
      </c>
      <c r="B36" s="1">
        <v>6</v>
      </c>
    </row>
    <row r="37" spans="1:2" x14ac:dyDescent="0.35">
      <c r="A37" s="9">
        <v>0.43</v>
      </c>
      <c r="B37" s="1">
        <v>11</v>
      </c>
    </row>
    <row r="38" spans="1:2" x14ac:dyDescent="0.35">
      <c r="A38" s="9">
        <v>0.45</v>
      </c>
      <c r="B38" s="1">
        <v>28</v>
      </c>
    </row>
    <row r="39" spans="1:2" x14ac:dyDescent="0.35">
      <c r="A39" s="9">
        <v>0.46</v>
      </c>
      <c r="B39" s="1">
        <v>3</v>
      </c>
    </row>
    <row r="40" spans="1:2" x14ac:dyDescent="0.35">
      <c r="A40" s="9">
        <v>0.47</v>
      </c>
      <c r="B40" s="1">
        <v>39</v>
      </c>
    </row>
    <row r="41" spans="1:2" x14ac:dyDescent="0.35">
      <c r="A41" s="9">
        <v>0.48</v>
      </c>
      <c r="B41" s="1">
        <v>9</v>
      </c>
    </row>
    <row r="42" spans="1:2" x14ac:dyDescent="0.35">
      <c r="A42" s="9">
        <v>0.49</v>
      </c>
      <c r="B42" s="1">
        <v>118</v>
      </c>
    </row>
    <row r="43" spans="1:2" x14ac:dyDescent="0.35">
      <c r="A43" s="9">
        <v>0.5</v>
      </c>
      <c r="B43" s="1">
        <v>8</v>
      </c>
    </row>
    <row r="44" spans="1:2" x14ac:dyDescent="0.35">
      <c r="A44" s="9">
        <v>0.51</v>
      </c>
      <c r="B44" s="1">
        <v>2</v>
      </c>
    </row>
    <row r="45" spans="1:2" x14ac:dyDescent="0.35">
      <c r="A45" s="9">
        <v>0.52</v>
      </c>
      <c r="B45" s="1">
        <v>24</v>
      </c>
    </row>
    <row r="46" spans="1:2" x14ac:dyDescent="0.35">
      <c r="A46" s="9">
        <v>0.53</v>
      </c>
      <c r="B46" s="1">
        <v>15</v>
      </c>
    </row>
    <row r="47" spans="1:2" x14ac:dyDescent="0.35">
      <c r="A47" s="9">
        <v>0.54</v>
      </c>
      <c r="B47" s="1">
        <v>17</v>
      </c>
    </row>
    <row r="48" spans="1:2" x14ac:dyDescent="0.35">
      <c r="A48" s="9">
        <v>0.55000000000000004</v>
      </c>
      <c r="B48" s="1">
        <v>18</v>
      </c>
    </row>
    <row r="49" spans="1:2" x14ac:dyDescent="0.35">
      <c r="A49" s="9">
        <v>0.61</v>
      </c>
      <c r="B49" s="1">
        <v>0</v>
      </c>
    </row>
    <row r="50" spans="1:2" x14ac:dyDescent="0.35">
      <c r="A50" s="9">
        <v>0.64</v>
      </c>
      <c r="B50" s="1">
        <v>0</v>
      </c>
    </row>
    <row r="51" spans="1:2" x14ac:dyDescent="0.35">
      <c r="A51" s="9" t="s">
        <v>123</v>
      </c>
      <c r="B51" s="1"/>
    </row>
    <row r="52" spans="1:2" x14ac:dyDescent="0.35">
      <c r="A52" s="9" t="s">
        <v>124</v>
      </c>
      <c r="B52" s="1">
        <v>723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B9A6-CD33-4C18-B13E-850158498CB8}">
  <dimension ref="A1"/>
  <sheetViews>
    <sheetView workbookViewId="0"/>
  </sheetViews>
  <sheetFormatPr defaultRowHeight="14.5" x14ac:dyDescent="0.3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64A4C-4A5C-4C10-88F2-A489FD259D6A}">
  <dimension ref="A3:K28"/>
  <sheetViews>
    <sheetView topLeftCell="A3" workbookViewId="0">
      <selection activeCell="A3" sqref="A3"/>
    </sheetView>
  </sheetViews>
  <sheetFormatPr defaultRowHeight="14.5" x14ac:dyDescent="0.35"/>
  <cols>
    <col min="1" max="1" width="12.36328125" bestFit="1" customWidth="1"/>
    <col min="2" max="2" width="13.08984375" bestFit="1" customWidth="1"/>
  </cols>
  <sheetData>
    <row r="3" spans="1:2" x14ac:dyDescent="0.35">
      <c r="A3" s="5" t="s">
        <v>122</v>
      </c>
      <c r="B3" t="s">
        <v>136</v>
      </c>
    </row>
    <row r="4" spans="1:2" x14ac:dyDescent="0.35">
      <c r="A4" s="6" t="s">
        <v>123</v>
      </c>
      <c r="B4" s="1"/>
    </row>
    <row r="5" spans="1:2" x14ac:dyDescent="0.35">
      <c r="A5" s="6" t="s">
        <v>116</v>
      </c>
      <c r="B5" s="1">
        <v>0</v>
      </c>
    </row>
    <row r="6" spans="1:2" x14ac:dyDescent="0.35">
      <c r="A6" s="6">
        <v>5</v>
      </c>
      <c r="B6" s="1">
        <v>12</v>
      </c>
    </row>
    <row r="7" spans="1:2" x14ac:dyDescent="0.35">
      <c r="A7" s="6">
        <v>4.8</v>
      </c>
      <c r="B7" s="1">
        <v>22</v>
      </c>
    </row>
    <row r="8" spans="1:2" x14ac:dyDescent="0.35">
      <c r="A8" s="6">
        <v>4.7</v>
      </c>
      <c r="B8" s="1">
        <v>78</v>
      </c>
    </row>
    <row r="9" spans="1:2" x14ac:dyDescent="0.35">
      <c r="A9" s="6">
        <v>4.5999999999999996</v>
      </c>
      <c r="B9" s="1">
        <v>177</v>
      </c>
    </row>
    <row r="10" spans="1:2" x14ac:dyDescent="0.35">
      <c r="A10" s="6">
        <v>4.5</v>
      </c>
      <c r="B10" s="1">
        <v>42</v>
      </c>
    </row>
    <row r="11" spans="1:2" x14ac:dyDescent="0.35">
      <c r="A11" s="6">
        <v>4.4000000000000004</v>
      </c>
      <c r="B11" s="1">
        <v>14</v>
      </c>
    </row>
    <row r="12" spans="1:2" x14ac:dyDescent="0.35">
      <c r="A12" s="6">
        <v>4.3</v>
      </c>
      <c r="B12" s="1">
        <v>61</v>
      </c>
    </row>
    <row r="13" spans="1:2" x14ac:dyDescent="0.35">
      <c r="A13" s="6">
        <v>4.2</v>
      </c>
      <c r="B13" s="1">
        <v>9</v>
      </c>
    </row>
    <row r="14" spans="1:2" x14ac:dyDescent="0.35">
      <c r="A14" s="6">
        <v>4.0999999999999996</v>
      </c>
      <c r="B14" s="1">
        <v>46</v>
      </c>
    </row>
    <row r="15" spans="1:2" x14ac:dyDescent="0.35">
      <c r="A15" s="6">
        <v>4</v>
      </c>
      <c r="B15" s="1">
        <v>24</v>
      </c>
    </row>
    <row r="16" spans="1:2" x14ac:dyDescent="0.35">
      <c r="A16" s="6">
        <v>3.8</v>
      </c>
      <c r="B16" s="1">
        <v>30</v>
      </c>
    </row>
    <row r="17" spans="1:11" x14ac:dyDescent="0.35">
      <c r="A17" s="6">
        <v>3.3</v>
      </c>
      <c r="B17" s="1">
        <v>13</v>
      </c>
    </row>
    <row r="18" spans="1:11" x14ac:dyDescent="0.35">
      <c r="A18" s="6">
        <v>3</v>
      </c>
      <c r="B18" s="1">
        <v>26</v>
      </c>
    </row>
    <row r="19" spans="1:11" x14ac:dyDescent="0.35">
      <c r="A19" s="6">
        <v>2.9</v>
      </c>
      <c r="B19" s="1">
        <v>16</v>
      </c>
      <c r="K19" t="s">
        <v>137</v>
      </c>
    </row>
    <row r="20" spans="1:11" x14ac:dyDescent="0.35">
      <c r="A20" s="6">
        <v>2.8</v>
      </c>
      <c r="B20" s="1">
        <v>69</v>
      </c>
    </row>
    <row r="21" spans="1:11" x14ac:dyDescent="0.35">
      <c r="A21" s="6">
        <v>2.7</v>
      </c>
      <c r="B21" s="1">
        <v>15</v>
      </c>
    </row>
    <row r="22" spans="1:11" x14ac:dyDescent="0.35">
      <c r="A22" s="6">
        <v>2.6</v>
      </c>
      <c r="B22" s="1">
        <v>17</v>
      </c>
    </row>
    <row r="23" spans="1:11" x14ac:dyDescent="0.35">
      <c r="A23" s="6">
        <v>2.5</v>
      </c>
      <c r="B23" s="1">
        <v>6</v>
      </c>
    </row>
    <row r="24" spans="1:11" x14ac:dyDescent="0.35">
      <c r="A24" s="6">
        <v>2.2999999999999998</v>
      </c>
      <c r="B24" s="1">
        <v>13</v>
      </c>
    </row>
    <row r="25" spans="1:11" x14ac:dyDescent="0.35">
      <c r="A25" s="6">
        <v>2.2000000000000002</v>
      </c>
      <c r="B25" s="1">
        <v>12</v>
      </c>
    </row>
    <row r="26" spans="1:11" x14ac:dyDescent="0.35">
      <c r="A26" s="6">
        <v>2.1</v>
      </c>
      <c r="B26" s="1">
        <v>20</v>
      </c>
    </row>
    <row r="27" spans="1:11" x14ac:dyDescent="0.35">
      <c r="A27" s="6">
        <v>2</v>
      </c>
      <c r="B27" s="1">
        <v>1</v>
      </c>
    </row>
    <row r="28" spans="1:11" x14ac:dyDescent="0.35">
      <c r="A28" s="6" t="s">
        <v>124</v>
      </c>
      <c r="B28" s="1">
        <v>723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4A157-4CFA-486A-8DEE-E8DABEF7B8A5}">
  <dimension ref="A3:B114"/>
  <sheetViews>
    <sheetView topLeftCell="A114" workbookViewId="0">
      <selection activeCell="A122" sqref="A122"/>
    </sheetView>
  </sheetViews>
  <sheetFormatPr defaultRowHeight="14.5" x14ac:dyDescent="0.35"/>
  <cols>
    <col min="1" max="1" width="89.1796875" bestFit="1" customWidth="1"/>
    <col min="2" max="2" width="14.54296875" bestFit="1" customWidth="1"/>
  </cols>
  <sheetData>
    <row r="3" spans="1:2" x14ac:dyDescent="0.35">
      <c r="A3" s="5" t="s">
        <v>122</v>
      </c>
      <c r="B3" t="s">
        <v>125</v>
      </c>
    </row>
    <row r="4" spans="1:2" x14ac:dyDescent="0.35">
      <c r="A4" s="6" t="s">
        <v>43</v>
      </c>
      <c r="B4" s="1">
        <v>0.38</v>
      </c>
    </row>
    <row r="5" spans="1:2" x14ac:dyDescent="0.35">
      <c r="A5" s="6" t="s">
        <v>16</v>
      </c>
      <c r="B5" s="1">
        <v>0.34</v>
      </c>
    </row>
    <row r="6" spans="1:2" x14ac:dyDescent="0.35">
      <c r="A6" s="6" t="s">
        <v>5</v>
      </c>
      <c r="B6" s="1">
        <v>0.38</v>
      </c>
    </row>
    <row r="7" spans="1:2" x14ac:dyDescent="0.35">
      <c r="A7" s="6" t="s">
        <v>32</v>
      </c>
      <c r="B7" s="1">
        <v>0.32</v>
      </c>
    </row>
    <row r="8" spans="1:2" x14ac:dyDescent="0.35">
      <c r="A8" s="6" t="s">
        <v>36</v>
      </c>
      <c r="B8" s="1">
        <v>0.34</v>
      </c>
    </row>
    <row r="9" spans="1:2" x14ac:dyDescent="0.35">
      <c r="A9" s="6" t="s">
        <v>66</v>
      </c>
      <c r="B9" s="1">
        <v>0.49</v>
      </c>
    </row>
    <row r="10" spans="1:2" x14ac:dyDescent="0.35">
      <c r="A10" s="6" t="s">
        <v>62</v>
      </c>
      <c r="B10" s="1">
        <v>0.27</v>
      </c>
    </row>
    <row r="11" spans="1:2" x14ac:dyDescent="0.35">
      <c r="A11" s="6" t="s">
        <v>14</v>
      </c>
      <c r="B11" s="1">
        <v>0.45</v>
      </c>
    </row>
    <row r="12" spans="1:2" x14ac:dyDescent="0.35">
      <c r="A12" s="6" t="s">
        <v>11</v>
      </c>
      <c r="B12" s="1">
        <v>0.24</v>
      </c>
    </row>
    <row r="13" spans="1:2" x14ac:dyDescent="0.35">
      <c r="A13" s="6" t="s">
        <v>106</v>
      </c>
      <c r="B13" s="1">
        <v>0.24</v>
      </c>
    </row>
    <row r="14" spans="1:2" x14ac:dyDescent="0.35">
      <c r="A14" s="6" t="s">
        <v>85</v>
      </c>
      <c r="B14" s="1">
        <v>0.02</v>
      </c>
    </row>
    <row r="15" spans="1:2" x14ac:dyDescent="0.35">
      <c r="A15" s="6" t="s">
        <v>10</v>
      </c>
      <c r="B15" s="1">
        <v>0.09</v>
      </c>
    </row>
    <row r="16" spans="1:2" x14ac:dyDescent="0.35">
      <c r="A16" s="6" t="s">
        <v>105</v>
      </c>
      <c r="B16" s="1">
        <v>0.01</v>
      </c>
    </row>
    <row r="17" spans="1:2" x14ac:dyDescent="0.35">
      <c r="A17" s="6" t="s">
        <v>96</v>
      </c>
      <c r="B17" s="1">
        <v>0.5</v>
      </c>
    </row>
    <row r="18" spans="1:2" x14ac:dyDescent="0.35">
      <c r="A18" s="6" t="s">
        <v>52</v>
      </c>
      <c r="B18" s="1">
        <v>0.38</v>
      </c>
    </row>
    <row r="19" spans="1:2" x14ac:dyDescent="0.35">
      <c r="A19" s="6" t="s">
        <v>78</v>
      </c>
      <c r="B19" s="1">
        <v>0.47</v>
      </c>
    </row>
    <row r="20" spans="1:2" x14ac:dyDescent="0.35">
      <c r="A20" s="6" t="s">
        <v>71</v>
      </c>
      <c r="B20" s="1">
        <v>0.39</v>
      </c>
    </row>
    <row r="21" spans="1:2" x14ac:dyDescent="0.35">
      <c r="A21" s="6" t="s">
        <v>70</v>
      </c>
      <c r="B21" s="1">
        <v>0.5</v>
      </c>
    </row>
    <row r="22" spans="1:2" x14ac:dyDescent="0.35">
      <c r="A22" s="6" t="s">
        <v>24</v>
      </c>
      <c r="B22" s="1">
        <v>0.49</v>
      </c>
    </row>
    <row r="23" spans="1:2" x14ac:dyDescent="0.35">
      <c r="A23" s="6" t="s">
        <v>79</v>
      </c>
      <c r="B23" s="1">
        <v>0.43</v>
      </c>
    </row>
    <row r="24" spans="1:2" x14ac:dyDescent="0.35">
      <c r="A24" s="6" t="s">
        <v>25</v>
      </c>
      <c r="B24" s="1">
        <v>0.53</v>
      </c>
    </row>
    <row r="25" spans="1:2" x14ac:dyDescent="0.35">
      <c r="A25" s="6" t="s">
        <v>99</v>
      </c>
      <c r="B25" s="1">
        <v>0.49</v>
      </c>
    </row>
    <row r="26" spans="1:2" x14ac:dyDescent="0.35">
      <c r="A26" s="6" t="s">
        <v>17</v>
      </c>
      <c r="B26" s="1">
        <v>0.47</v>
      </c>
    </row>
    <row r="27" spans="1:2" x14ac:dyDescent="0.35">
      <c r="A27" s="6" t="s">
        <v>45</v>
      </c>
      <c r="B27" s="1">
        <v>0.49</v>
      </c>
    </row>
    <row r="28" spans="1:2" x14ac:dyDescent="0.35">
      <c r="A28" s="6" t="s">
        <v>26</v>
      </c>
      <c r="B28" s="1">
        <v>0.42</v>
      </c>
    </row>
    <row r="29" spans="1:2" x14ac:dyDescent="0.35">
      <c r="A29" s="6" t="s">
        <v>63</v>
      </c>
      <c r="B29" s="1">
        <v>0.13</v>
      </c>
    </row>
    <row r="30" spans="1:2" x14ac:dyDescent="0.35">
      <c r="A30" s="6" t="s">
        <v>33</v>
      </c>
      <c r="B30" s="1">
        <v>0.3</v>
      </c>
    </row>
    <row r="31" spans="1:2" x14ac:dyDescent="0.35">
      <c r="A31" s="6" t="s">
        <v>39</v>
      </c>
      <c r="B31" s="1">
        <v>0.27</v>
      </c>
    </row>
    <row r="32" spans="1:2" x14ac:dyDescent="0.35">
      <c r="A32" s="6" t="s">
        <v>38</v>
      </c>
      <c r="B32" s="1">
        <v>0.27</v>
      </c>
    </row>
    <row r="33" spans="1:2" x14ac:dyDescent="0.35">
      <c r="A33" s="6" t="s">
        <v>84</v>
      </c>
      <c r="B33" s="1">
        <v>0.36</v>
      </c>
    </row>
    <row r="34" spans="1:2" x14ac:dyDescent="0.35">
      <c r="A34" s="6" t="s">
        <v>65</v>
      </c>
      <c r="B34" s="1">
        <v>0.55000000000000004</v>
      </c>
    </row>
    <row r="35" spans="1:2" x14ac:dyDescent="0.35">
      <c r="A35" s="6" t="s">
        <v>111</v>
      </c>
      <c r="B35" s="1">
        <v>0.64</v>
      </c>
    </row>
    <row r="36" spans="1:2" x14ac:dyDescent="0.35">
      <c r="A36" s="6" t="s">
        <v>95</v>
      </c>
      <c r="B36" s="1">
        <v>0.47</v>
      </c>
    </row>
    <row r="37" spans="1:2" x14ac:dyDescent="0.35">
      <c r="A37" s="6" t="s">
        <v>50</v>
      </c>
      <c r="B37" s="1">
        <v>0.33</v>
      </c>
    </row>
    <row r="38" spans="1:2" x14ac:dyDescent="0.35">
      <c r="A38" s="6" t="s">
        <v>81</v>
      </c>
      <c r="B38" s="1">
        <v>0.49</v>
      </c>
    </row>
    <row r="39" spans="1:2" x14ac:dyDescent="0.35">
      <c r="A39" s="6" t="s">
        <v>76</v>
      </c>
      <c r="B39" s="1">
        <v>0.47</v>
      </c>
    </row>
    <row r="40" spans="1:2" x14ac:dyDescent="0.35">
      <c r="A40" s="6" t="s">
        <v>102</v>
      </c>
      <c r="B40" s="1">
        <v>0.42</v>
      </c>
    </row>
    <row r="41" spans="1:2" x14ac:dyDescent="0.35">
      <c r="A41" s="6" t="s">
        <v>104</v>
      </c>
      <c r="B41" s="1">
        <v>0.41</v>
      </c>
    </row>
    <row r="42" spans="1:2" x14ac:dyDescent="0.35">
      <c r="A42" s="6" t="s">
        <v>72</v>
      </c>
      <c r="B42" s="1">
        <v>0.45</v>
      </c>
    </row>
    <row r="43" spans="1:2" x14ac:dyDescent="0.35">
      <c r="A43" s="6" t="s">
        <v>61</v>
      </c>
      <c r="B43" s="1">
        <v>0.49</v>
      </c>
    </row>
    <row r="44" spans="1:2" x14ac:dyDescent="0.35">
      <c r="A44" s="6" t="s">
        <v>20</v>
      </c>
      <c r="B44" s="1">
        <v>0.51</v>
      </c>
    </row>
    <row r="45" spans="1:2" x14ac:dyDescent="0.35">
      <c r="A45" s="6" t="s">
        <v>69</v>
      </c>
      <c r="B45" s="1">
        <v>0.45</v>
      </c>
    </row>
    <row r="46" spans="1:2" x14ac:dyDescent="0.35">
      <c r="A46" s="6" t="s">
        <v>101</v>
      </c>
      <c r="B46" s="1">
        <v>0.49</v>
      </c>
    </row>
    <row r="47" spans="1:2" x14ac:dyDescent="0.35">
      <c r="A47" s="6" t="s">
        <v>47</v>
      </c>
      <c r="B47" s="1">
        <v>0.42</v>
      </c>
    </row>
    <row r="48" spans="1:2" x14ac:dyDescent="0.35">
      <c r="A48" s="6" t="s">
        <v>83</v>
      </c>
      <c r="B48" s="1">
        <v>0.49</v>
      </c>
    </row>
    <row r="49" spans="1:2" x14ac:dyDescent="0.35">
      <c r="A49" s="6" t="s">
        <v>113</v>
      </c>
      <c r="B49" s="1">
        <v>0.47</v>
      </c>
    </row>
    <row r="50" spans="1:2" x14ac:dyDescent="0.35">
      <c r="A50" s="6" t="s">
        <v>54</v>
      </c>
      <c r="B50" s="1">
        <v>0.5</v>
      </c>
    </row>
    <row r="51" spans="1:2" x14ac:dyDescent="0.35">
      <c r="A51" s="6" t="s">
        <v>51</v>
      </c>
      <c r="B51" s="1">
        <v>0.49</v>
      </c>
    </row>
    <row r="52" spans="1:2" x14ac:dyDescent="0.35">
      <c r="A52" s="6" t="s">
        <v>88</v>
      </c>
      <c r="B52" s="1">
        <v>0.49</v>
      </c>
    </row>
    <row r="53" spans="1:2" x14ac:dyDescent="0.35">
      <c r="A53" s="6" t="s">
        <v>108</v>
      </c>
      <c r="B53" s="1">
        <v>0.34</v>
      </c>
    </row>
    <row r="54" spans="1:2" x14ac:dyDescent="0.35">
      <c r="A54" s="6" t="s">
        <v>49</v>
      </c>
      <c r="B54" s="1">
        <v>0.5</v>
      </c>
    </row>
    <row r="55" spans="1:2" x14ac:dyDescent="0.35">
      <c r="A55" s="6" t="s">
        <v>60</v>
      </c>
      <c r="B55" s="1">
        <v>0.48</v>
      </c>
    </row>
    <row r="56" spans="1:2" x14ac:dyDescent="0.35">
      <c r="A56" s="6" t="s">
        <v>41</v>
      </c>
      <c r="B56" s="1">
        <v>0.53</v>
      </c>
    </row>
    <row r="57" spans="1:2" x14ac:dyDescent="0.35">
      <c r="A57" s="6" t="s">
        <v>53</v>
      </c>
      <c r="B57" s="1">
        <v>0.61</v>
      </c>
    </row>
    <row r="58" spans="1:2" x14ac:dyDescent="0.35">
      <c r="A58" s="6" t="s">
        <v>80</v>
      </c>
      <c r="B58" s="1">
        <v>0.04</v>
      </c>
    </row>
    <row r="59" spans="1:2" x14ac:dyDescent="0.35">
      <c r="A59" s="6" t="s">
        <v>58</v>
      </c>
      <c r="B59" s="1">
        <v>0.41</v>
      </c>
    </row>
    <row r="60" spans="1:2" x14ac:dyDescent="0.35">
      <c r="A60" s="6" t="s">
        <v>12</v>
      </c>
      <c r="B60" s="1">
        <v>0.37</v>
      </c>
    </row>
    <row r="61" spans="1:2" x14ac:dyDescent="0.35">
      <c r="A61" s="6" t="s">
        <v>40</v>
      </c>
      <c r="B61" s="1">
        <v>0.4</v>
      </c>
    </row>
    <row r="62" spans="1:2" x14ac:dyDescent="0.35">
      <c r="A62" s="6" t="s">
        <v>77</v>
      </c>
      <c r="B62" s="1">
        <v>0.47</v>
      </c>
    </row>
    <row r="63" spans="1:2" x14ac:dyDescent="0.35">
      <c r="A63" s="6" t="s">
        <v>30</v>
      </c>
      <c r="B63" s="1">
        <v>0.35</v>
      </c>
    </row>
    <row r="64" spans="1:2" x14ac:dyDescent="0.35">
      <c r="A64" s="6" t="s">
        <v>35</v>
      </c>
      <c r="B64" s="1">
        <v>0.52</v>
      </c>
    </row>
    <row r="65" spans="1:2" x14ac:dyDescent="0.35">
      <c r="A65" s="6" t="s">
        <v>28</v>
      </c>
      <c r="B65" s="1">
        <v>0.23</v>
      </c>
    </row>
    <row r="66" spans="1:2" x14ac:dyDescent="0.35">
      <c r="A66" s="6" t="s">
        <v>15</v>
      </c>
      <c r="B66" s="1">
        <v>0.2</v>
      </c>
    </row>
    <row r="67" spans="1:2" x14ac:dyDescent="0.35">
      <c r="A67" s="6" t="s">
        <v>86</v>
      </c>
      <c r="B67" s="1">
        <v>0.49</v>
      </c>
    </row>
    <row r="68" spans="1:2" x14ac:dyDescent="0.35">
      <c r="A68" s="6" t="s">
        <v>67</v>
      </c>
      <c r="B68" s="1">
        <v>0.52</v>
      </c>
    </row>
    <row r="69" spans="1:2" x14ac:dyDescent="0.35">
      <c r="A69" s="6" t="s">
        <v>103</v>
      </c>
      <c r="B69" s="1">
        <v>0.21</v>
      </c>
    </row>
    <row r="70" spans="1:2" x14ac:dyDescent="0.35">
      <c r="A70" s="6" t="s">
        <v>73</v>
      </c>
      <c r="B70" s="1">
        <v>0.28999999999999998</v>
      </c>
    </row>
    <row r="71" spans="1:2" x14ac:dyDescent="0.35">
      <c r="A71" s="6" t="s">
        <v>29</v>
      </c>
      <c r="B71" s="1">
        <v>0.54</v>
      </c>
    </row>
    <row r="72" spans="1:2" x14ac:dyDescent="0.35">
      <c r="A72" s="6" t="s">
        <v>22</v>
      </c>
      <c r="B72" s="1">
        <v>0.49</v>
      </c>
    </row>
    <row r="73" spans="1:2" x14ac:dyDescent="0.35">
      <c r="A73" s="6" t="s">
        <v>18</v>
      </c>
      <c r="B73" s="1">
        <v>0.42</v>
      </c>
    </row>
    <row r="74" spans="1:2" x14ac:dyDescent="0.35">
      <c r="A74" s="6" t="s">
        <v>13</v>
      </c>
      <c r="B74" s="1">
        <v>0.55000000000000004</v>
      </c>
    </row>
    <row r="75" spans="1:2" x14ac:dyDescent="0.35">
      <c r="A75" s="6" t="s">
        <v>44</v>
      </c>
      <c r="B75" s="1">
        <v>0.38</v>
      </c>
    </row>
    <row r="76" spans="1:2" x14ac:dyDescent="0.35">
      <c r="A76" s="6" t="s">
        <v>37</v>
      </c>
      <c r="B76" s="1">
        <v>0.48</v>
      </c>
    </row>
    <row r="77" spans="1:2" x14ac:dyDescent="0.35">
      <c r="A77" s="6" t="s">
        <v>27</v>
      </c>
      <c r="B77" s="1">
        <v>0.35</v>
      </c>
    </row>
    <row r="78" spans="1:2" x14ac:dyDescent="0.35">
      <c r="A78" s="6" t="s">
        <v>107</v>
      </c>
      <c r="B78" s="1">
        <v>0.34</v>
      </c>
    </row>
    <row r="79" spans="1:2" x14ac:dyDescent="0.35">
      <c r="A79" s="6" t="s">
        <v>23</v>
      </c>
      <c r="B79" s="1">
        <v>0.19</v>
      </c>
    </row>
    <row r="80" spans="1:2" x14ac:dyDescent="0.35">
      <c r="A80" s="6" t="s">
        <v>82</v>
      </c>
      <c r="B80" s="1">
        <v>0.46</v>
      </c>
    </row>
    <row r="81" spans="1:2" x14ac:dyDescent="0.35">
      <c r="A81" s="6" t="s">
        <v>6</v>
      </c>
      <c r="B81" s="1">
        <v>0.47</v>
      </c>
    </row>
    <row r="82" spans="1:2" x14ac:dyDescent="0.35">
      <c r="A82" s="6" t="s">
        <v>100</v>
      </c>
      <c r="B82" s="1">
        <v>0.04</v>
      </c>
    </row>
    <row r="83" spans="1:2" x14ac:dyDescent="0.35">
      <c r="A83" s="6" t="s">
        <v>46</v>
      </c>
      <c r="B83" s="1">
        <v>0.5</v>
      </c>
    </row>
    <row r="84" spans="1:2" x14ac:dyDescent="0.35">
      <c r="A84" s="6" t="s">
        <v>19</v>
      </c>
      <c r="B84" s="1">
        <v>0.33</v>
      </c>
    </row>
    <row r="85" spans="1:2" x14ac:dyDescent="0.35">
      <c r="A85" s="6" t="s">
        <v>91</v>
      </c>
      <c r="B85" s="1">
        <v>0.43</v>
      </c>
    </row>
    <row r="86" spans="1:2" x14ac:dyDescent="0.35">
      <c r="A86" s="6" t="s">
        <v>34</v>
      </c>
      <c r="B86" s="1">
        <v>0.46</v>
      </c>
    </row>
    <row r="87" spans="1:2" x14ac:dyDescent="0.35">
      <c r="A87" s="6" t="s">
        <v>57</v>
      </c>
      <c r="B87" s="1">
        <v>0.03</v>
      </c>
    </row>
    <row r="88" spans="1:2" x14ac:dyDescent="0.35">
      <c r="A88" s="6" t="s">
        <v>64</v>
      </c>
      <c r="B88" s="1">
        <v>0.54</v>
      </c>
    </row>
    <row r="89" spans="1:2" x14ac:dyDescent="0.35">
      <c r="A89" s="6" t="s">
        <v>87</v>
      </c>
      <c r="B89" s="1">
        <v>0.14000000000000001</v>
      </c>
    </row>
    <row r="90" spans="1:2" x14ac:dyDescent="0.35">
      <c r="A90" s="6" t="s">
        <v>89</v>
      </c>
      <c r="B90" s="1">
        <v>0.11</v>
      </c>
    </row>
    <row r="91" spans="1:2" x14ac:dyDescent="0.35">
      <c r="A91" s="6" t="s">
        <v>21</v>
      </c>
      <c r="B91" s="1">
        <v>0.46</v>
      </c>
    </row>
    <row r="92" spans="1:2" x14ac:dyDescent="0.35">
      <c r="A92" s="6" t="s">
        <v>55</v>
      </c>
      <c r="B92" s="1">
        <v>0.02</v>
      </c>
    </row>
    <row r="93" spans="1:2" x14ac:dyDescent="0.35">
      <c r="A93" s="6" t="s">
        <v>56</v>
      </c>
      <c r="B93" s="1">
        <v>0.22</v>
      </c>
    </row>
    <row r="94" spans="1:2" x14ac:dyDescent="0.35">
      <c r="A94" s="6" t="s">
        <v>9</v>
      </c>
      <c r="B94" s="1">
        <v>0.26</v>
      </c>
    </row>
    <row r="95" spans="1:2" x14ac:dyDescent="0.35">
      <c r="A95" s="6" t="s">
        <v>7</v>
      </c>
      <c r="B95" s="1">
        <v>0.25</v>
      </c>
    </row>
    <row r="96" spans="1:2" x14ac:dyDescent="0.35">
      <c r="A96" s="6" t="s">
        <v>98</v>
      </c>
      <c r="B96" s="1">
        <v>0.02</v>
      </c>
    </row>
    <row r="97" spans="1:2" x14ac:dyDescent="0.35">
      <c r="A97" s="6" t="s">
        <v>31</v>
      </c>
      <c r="B97" s="1">
        <v>0.18</v>
      </c>
    </row>
    <row r="98" spans="1:2" x14ac:dyDescent="0.35">
      <c r="A98" s="6" t="s">
        <v>93</v>
      </c>
      <c r="B98" s="1">
        <v>0.48</v>
      </c>
    </row>
    <row r="99" spans="1:2" x14ac:dyDescent="0.35">
      <c r="A99" s="6" t="s">
        <v>42</v>
      </c>
      <c r="B99" s="1">
        <v>0.41</v>
      </c>
    </row>
    <row r="100" spans="1:2" x14ac:dyDescent="0.35">
      <c r="A100" s="6" t="s">
        <v>94</v>
      </c>
      <c r="B100" s="1">
        <v>0.48</v>
      </c>
    </row>
    <row r="101" spans="1:2" x14ac:dyDescent="0.35">
      <c r="A101" s="6" t="s">
        <v>48</v>
      </c>
      <c r="B101" s="1">
        <v>0.02</v>
      </c>
    </row>
    <row r="102" spans="1:2" x14ac:dyDescent="0.35">
      <c r="A102" s="6" t="s">
        <v>109</v>
      </c>
      <c r="B102" s="1">
        <v>0.02</v>
      </c>
    </row>
    <row r="103" spans="1:2" x14ac:dyDescent="0.35">
      <c r="A103" s="6" t="s">
        <v>59</v>
      </c>
      <c r="B103" s="1">
        <v>0.45</v>
      </c>
    </row>
    <row r="104" spans="1:2" x14ac:dyDescent="0.35">
      <c r="A104" s="6" t="s">
        <v>110</v>
      </c>
      <c r="B104" s="1">
        <v>0.02</v>
      </c>
    </row>
    <row r="105" spans="1:2" x14ac:dyDescent="0.35">
      <c r="A105" s="6" t="s">
        <v>68</v>
      </c>
      <c r="B105" s="1">
        <v>0.22</v>
      </c>
    </row>
    <row r="106" spans="1:2" x14ac:dyDescent="0.35">
      <c r="A106" s="6" t="s">
        <v>92</v>
      </c>
      <c r="B106" s="1">
        <v>0.5</v>
      </c>
    </row>
    <row r="107" spans="1:2" x14ac:dyDescent="0.35">
      <c r="A107" s="6" t="s">
        <v>97</v>
      </c>
      <c r="B107" s="1">
        <v>0.08</v>
      </c>
    </row>
    <row r="108" spans="1:2" x14ac:dyDescent="0.35">
      <c r="A108" s="6" t="s">
        <v>112</v>
      </c>
      <c r="B108" s="1">
        <v>0.5</v>
      </c>
    </row>
    <row r="109" spans="1:2" x14ac:dyDescent="0.35">
      <c r="A109" s="6" t="s">
        <v>90</v>
      </c>
      <c r="B109" s="1">
        <v>0.14000000000000001</v>
      </c>
    </row>
    <row r="110" spans="1:2" x14ac:dyDescent="0.35">
      <c r="A110" s="6" t="s">
        <v>74</v>
      </c>
      <c r="B110" s="1">
        <v>0.43</v>
      </c>
    </row>
    <row r="111" spans="1:2" x14ac:dyDescent="0.35">
      <c r="A111" s="6" t="s">
        <v>8</v>
      </c>
      <c r="B111" s="1">
        <v>0.37</v>
      </c>
    </row>
    <row r="112" spans="1:2" x14ac:dyDescent="0.35">
      <c r="A112" s="6" t="s">
        <v>75</v>
      </c>
      <c r="B112" s="1">
        <v>0.43</v>
      </c>
    </row>
    <row r="113" spans="1:2" x14ac:dyDescent="0.35">
      <c r="A113" s="6" t="s">
        <v>123</v>
      </c>
      <c r="B113" s="1">
        <v>0.36385321100917423</v>
      </c>
    </row>
    <row r="114" spans="1:2" x14ac:dyDescent="0.35">
      <c r="A114" s="6" t="s">
        <v>124</v>
      </c>
      <c r="B114" s="1">
        <v>40.023853211009168</v>
      </c>
    </row>
  </sheetData>
  <conditionalFormatting sqref="B1:B3 B115:B1048576">
    <cfRule type="top10" dxfId="38" priority="3" rank="10"/>
    <cfRule type="top10" dxfId="37" priority="2" rank="10"/>
  </conditionalFormatting>
  <conditionalFormatting sqref="B1:B3 B115:B1048576">
    <cfRule type="top10" dxfId="36" priority="1" rank="10"/>
  </conditionalFormatting>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97450-CBDB-4360-97E3-B786B26CE808}">
  <dimension ref="A3:B114"/>
  <sheetViews>
    <sheetView workbookViewId="0">
      <selection activeCell="B1" sqref="B1:B1048576"/>
    </sheetView>
  </sheetViews>
  <sheetFormatPr defaultRowHeight="14.5" x14ac:dyDescent="0.35"/>
  <cols>
    <col min="1" max="1" width="89.1796875" bestFit="1" customWidth="1"/>
    <col min="2" max="2" width="13.08984375" bestFit="1" customWidth="1"/>
  </cols>
  <sheetData>
    <row r="3" spans="1:2" x14ac:dyDescent="0.35">
      <c r="A3" s="5" t="s">
        <v>122</v>
      </c>
      <c r="B3" t="s">
        <v>136</v>
      </c>
    </row>
    <row r="4" spans="1:2" x14ac:dyDescent="0.35">
      <c r="A4" s="6" t="s">
        <v>43</v>
      </c>
      <c r="B4" s="1">
        <v>2</v>
      </c>
    </row>
    <row r="5" spans="1:2" x14ac:dyDescent="0.35">
      <c r="A5" s="6" t="s">
        <v>16</v>
      </c>
      <c r="B5" s="1">
        <v>39</v>
      </c>
    </row>
    <row r="6" spans="1:2" x14ac:dyDescent="0.35">
      <c r="A6" s="6" t="s">
        <v>5</v>
      </c>
      <c r="B6" s="1">
        <v>2</v>
      </c>
    </row>
    <row r="7" spans="1:2" x14ac:dyDescent="0.35">
      <c r="A7" s="6" t="s">
        <v>32</v>
      </c>
      <c r="B7" s="1">
        <v>13</v>
      </c>
    </row>
    <row r="8" spans="1:2" x14ac:dyDescent="0.35">
      <c r="A8" s="6" t="s">
        <v>36</v>
      </c>
      <c r="B8" s="1">
        <v>12</v>
      </c>
    </row>
    <row r="9" spans="1:2" x14ac:dyDescent="0.35">
      <c r="A9" s="6" t="s">
        <v>66</v>
      </c>
      <c r="B9" s="1">
        <v>69</v>
      </c>
    </row>
    <row r="10" spans="1:2" x14ac:dyDescent="0.35">
      <c r="A10" s="6" t="s">
        <v>62</v>
      </c>
      <c r="B10" s="1">
        <v>0</v>
      </c>
    </row>
    <row r="11" spans="1:2" x14ac:dyDescent="0.35">
      <c r="A11" s="6" t="s">
        <v>14</v>
      </c>
      <c r="B11" s="1">
        <v>5</v>
      </c>
    </row>
    <row r="12" spans="1:2" x14ac:dyDescent="0.35">
      <c r="A12" s="6" t="s">
        <v>11</v>
      </c>
      <c r="B12" s="1">
        <v>55</v>
      </c>
    </row>
    <row r="13" spans="1:2" x14ac:dyDescent="0.35">
      <c r="A13" s="6" t="s">
        <v>106</v>
      </c>
      <c r="B13" s="1">
        <v>0</v>
      </c>
    </row>
    <row r="14" spans="1:2" x14ac:dyDescent="0.35">
      <c r="A14" s="6" t="s">
        <v>85</v>
      </c>
      <c r="B14" s="1">
        <v>0</v>
      </c>
    </row>
    <row r="15" spans="1:2" x14ac:dyDescent="0.35">
      <c r="A15" s="6" t="s">
        <v>10</v>
      </c>
      <c r="B15" s="1">
        <v>15</v>
      </c>
    </row>
    <row r="16" spans="1:2" x14ac:dyDescent="0.35">
      <c r="A16" s="6" t="s">
        <v>105</v>
      </c>
      <c r="B16" s="1">
        <v>0</v>
      </c>
    </row>
    <row r="17" spans="1:2" x14ac:dyDescent="0.35">
      <c r="A17" s="6" t="s">
        <v>96</v>
      </c>
      <c r="B17" s="1">
        <v>0</v>
      </c>
    </row>
    <row r="18" spans="1:2" x14ac:dyDescent="0.35">
      <c r="A18" s="6" t="s">
        <v>52</v>
      </c>
      <c r="B18" s="1">
        <v>0</v>
      </c>
    </row>
    <row r="19" spans="1:2" x14ac:dyDescent="0.35">
      <c r="A19" s="6" t="s">
        <v>78</v>
      </c>
      <c r="B19" s="1">
        <v>0</v>
      </c>
    </row>
    <row r="20" spans="1:2" x14ac:dyDescent="0.35">
      <c r="A20" s="6" t="s">
        <v>71</v>
      </c>
      <c r="B20" s="1">
        <v>5</v>
      </c>
    </row>
    <row r="21" spans="1:2" x14ac:dyDescent="0.35">
      <c r="A21" s="6" t="s">
        <v>70</v>
      </c>
      <c r="B21" s="1">
        <v>7</v>
      </c>
    </row>
    <row r="22" spans="1:2" x14ac:dyDescent="0.35">
      <c r="A22" s="6" t="s">
        <v>24</v>
      </c>
      <c r="B22" s="1">
        <v>44</v>
      </c>
    </row>
    <row r="23" spans="1:2" x14ac:dyDescent="0.35">
      <c r="A23" s="6" t="s">
        <v>79</v>
      </c>
      <c r="B23" s="1">
        <v>0</v>
      </c>
    </row>
    <row r="24" spans="1:2" x14ac:dyDescent="0.35">
      <c r="A24" s="6" t="s">
        <v>25</v>
      </c>
      <c r="B24" s="1">
        <v>13</v>
      </c>
    </row>
    <row r="25" spans="1:2" x14ac:dyDescent="0.35">
      <c r="A25" s="6" t="s">
        <v>99</v>
      </c>
      <c r="B25" s="1">
        <v>0</v>
      </c>
    </row>
    <row r="26" spans="1:2" x14ac:dyDescent="0.35">
      <c r="A26" s="6" t="s">
        <v>17</v>
      </c>
      <c r="B26" s="1">
        <v>12</v>
      </c>
    </row>
    <row r="27" spans="1:2" x14ac:dyDescent="0.35">
      <c r="A27" s="6" t="s">
        <v>45</v>
      </c>
      <c r="B27" s="1">
        <v>0</v>
      </c>
    </row>
    <row r="28" spans="1:2" x14ac:dyDescent="0.35">
      <c r="A28" s="6" t="s">
        <v>26</v>
      </c>
      <c r="B28" s="1">
        <v>0</v>
      </c>
    </row>
    <row r="29" spans="1:2" x14ac:dyDescent="0.35">
      <c r="A29" s="6" t="s">
        <v>63</v>
      </c>
      <c r="B29" s="1">
        <v>6</v>
      </c>
    </row>
    <row r="30" spans="1:2" x14ac:dyDescent="0.35">
      <c r="A30" s="6" t="s">
        <v>33</v>
      </c>
      <c r="B30" s="1">
        <v>20</v>
      </c>
    </row>
    <row r="31" spans="1:2" x14ac:dyDescent="0.35">
      <c r="A31" s="6" t="s">
        <v>39</v>
      </c>
      <c r="B31" s="1">
        <v>32</v>
      </c>
    </row>
    <row r="32" spans="1:2" x14ac:dyDescent="0.35">
      <c r="A32" s="6" t="s">
        <v>38</v>
      </c>
      <c r="B32" s="1">
        <v>20</v>
      </c>
    </row>
    <row r="33" spans="1:2" x14ac:dyDescent="0.35">
      <c r="A33" s="6" t="s">
        <v>84</v>
      </c>
      <c r="B33" s="1">
        <v>0</v>
      </c>
    </row>
    <row r="34" spans="1:2" x14ac:dyDescent="0.35">
      <c r="A34" s="6" t="s">
        <v>65</v>
      </c>
      <c r="B34" s="1">
        <v>13</v>
      </c>
    </row>
    <row r="35" spans="1:2" x14ac:dyDescent="0.35">
      <c r="A35" s="6" t="s">
        <v>111</v>
      </c>
      <c r="B35" s="1">
        <v>0</v>
      </c>
    </row>
    <row r="36" spans="1:2" x14ac:dyDescent="0.35">
      <c r="A36" s="6" t="s">
        <v>95</v>
      </c>
      <c r="B36" s="1">
        <v>0</v>
      </c>
    </row>
    <row r="37" spans="1:2" x14ac:dyDescent="0.35">
      <c r="A37" s="6" t="s">
        <v>50</v>
      </c>
      <c r="B37" s="1">
        <v>0</v>
      </c>
    </row>
    <row r="38" spans="1:2" x14ac:dyDescent="0.35">
      <c r="A38" s="6" t="s">
        <v>81</v>
      </c>
      <c r="B38" s="1">
        <v>0</v>
      </c>
    </row>
    <row r="39" spans="1:2" x14ac:dyDescent="0.35">
      <c r="A39" s="6" t="s">
        <v>76</v>
      </c>
      <c r="B39" s="1">
        <v>6</v>
      </c>
    </row>
    <row r="40" spans="1:2" x14ac:dyDescent="0.35">
      <c r="A40" s="6" t="s">
        <v>102</v>
      </c>
      <c r="B40" s="1">
        <v>0</v>
      </c>
    </row>
    <row r="41" spans="1:2" x14ac:dyDescent="0.35">
      <c r="A41" s="6" t="s">
        <v>104</v>
      </c>
      <c r="B41" s="1">
        <v>0</v>
      </c>
    </row>
    <row r="42" spans="1:2" x14ac:dyDescent="0.35">
      <c r="A42" s="6" t="s">
        <v>72</v>
      </c>
      <c r="B42" s="1">
        <v>17</v>
      </c>
    </row>
    <row r="43" spans="1:2" x14ac:dyDescent="0.35">
      <c r="A43" s="6" t="s">
        <v>61</v>
      </c>
      <c r="B43" s="1">
        <v>0</v>
      </c>
    </row>
    <row r="44" spans="1:2" x14ac:dyDescent="0.35">
      <c r="A44" s="6" t="s">
        <v>20</v>
      </c>
      <c r="B44" s="1">
        <v>2</v>
      </c>
    </row>
    <row r="45" spans="1:2" x14ac:dyDescent="0.35">
      <c r="A45" s="6" t="s">
        <v>69</v>
      </c>
      <c r="B45" s="1">
        <v>6</v>
      </c>
    </row>
    <row r="46" spans="1:2" x14ac:dyDescent="0.35">
      <c r="A46" s="6" t="s">
        <v>101</v>
      </c>
      <c r="B46" s="1">
        <v>0</v>
      </c>
    </row>
    <row r="47" spans="1:2" x14ac:dyDescent="0.35">
      <c r="A47" s="6" t="s">
        <v>47</v>
      </c>
      <c r="B47" s="1">
        <v>0</v>
      </c>
    </row>
    <row r="48" spans="1:2" x14ac:dyDescent="0.35">
      <c r="A48" s="6" t="s">
        <v>83</v>
      </c>
      <c r="B48" s="1">
        <v>1</v>
      </c>
    </row>
    <row r="49" spans="1:2" x14ac:dyDescent="0.35">
      <c r="A49" s="6" t="s">
        <v>113</v>
      </c>
      <c r="B49" s="1">
        <v>0</v>
      </c>
    </row>
    <row r="50" spans="1:2" x14ac:dyDescent="0.35">
      <c r="A50" s="6" t="s">
        <v>54</v>
      </c>
      <c r="B50" s="1">
        <v>0</v>
      </c>
    </row>
    <row r="51" spans="1:2" x14ac:dyDescent="0.35">
      <c r="A51" s="6" t="s">
        <v>51</v>
      </c>
      <c r="B51" s="1">
        <v>0</v>
      </c>
    </row>
    <row r="52" spans="1:2" x14ac:dyDescent="0.35">
      <c r="A52" s="6" t="s">
        <v>88</v>
      </c>
      <c r="B52" s="1">
        <v>0</v>
      </c>
    </row>
    <row r="53" spans="1:2" x14ac:dyDescent="0.35">
      <c r="A53" s="6" t="s">
        <v>108</v>
      </c>
      <c r="B53" s="1">
        <v>0</v>
      </c>
    </row>
    <row r="54" spans="1:2" x14ac:dyDescent="0.35">
      <c r="A54" s="6" t="s">
        <v>49</v>
      </c>
      <c r="B54" s="1">
        <v>0</v>
      </c>
    </row>
    <row r="55" spans="1:2" x14ac:dyDescent="0.35">
      <c r="A55" s="6" t="s">
        <v>60</v>
      </c>
      <c r="B55" s="1">
        <v>0</v>
      </c>
    </row>
    <row r="56" spans="1:2" x14ac:dyDescent="0.35">
      <c r="A56" s="6" t="s">
        <v>41</v>
      </c>
      <c r="B56" s="1">
        <v>2</v>
      </c>
    </row>
    <row r="57" spans="1:2" x14ac:dyDescent="0.35">
      <c r="A57" s="6" t="s">
        <v>53</v>
      </c>
      <c r="B57" s="1">
        <v>0</v>
      </c>
    </row>
    <row r="58" spans="1:2" x14ac:dyDescent="0.35">
      <c r="A58" s="6" t="s">
        <v>80</v>
      </c>
      <c r="B58" s="1">
        <v>0</v>
      </c>
    </row>
    <row r="59" spans="1:2" x14ac:dyDescent="0.35">
      <c r="A59" s="6" t="s">
        <v>58</v>
      </c>
      <c r="B59" s="1">
        <v>0</v>
      </c>
    </row>
    <row r="60" spans="1:2" x14ac:dyDescent="0.35">
      <c r="A60" s="6" t="s">
        <v>12</v>
      </c>
      <c r="B60" s="1">
        <v>2</v>
      </c>
    </row>
    <row r="61" spans="1:2" x14ac:dyDescent="0.35">
      <c r="A61" s="6" t="s">
        <v>40</v>
      </c>
      <c r="B61" s="1">
        <v>1</v>
      </c>
    </row>
    <row r="62" spans="1:2" x14ac:dyDescent="0.35">
      <c r="A62" s="6" t="s">
        <v>77</v>
      </c>
      <c r="B62" s="1">
        <v>7</v>
      </c>
    </row>
    <row r="63" spans="1:2" x14ac:dyDescent="0.35">
      <c r="A63" s="6" t="s">
        <v>30</v>
      </c>
      <c r="B63" s="1">
        <v>49</v>
      </c>
    </row>
    <row r="64" spans="1:2" x14ac:dyDescent="0.35">
      <c r="A64" s="6" t="s">
        <v>35</v>
      </c>
      <c r="B64" s="1">
        <v>9</v>
      </c>
    </row>
    <row r="65" spans="1:2" x14ac:dyDescent="0.35">
      <c r="A65" s="6" t="s">
        <v>28</v>
      </c>
      <c r="B65" s="1">
        <v>14</v>
      </c>
    </row>
    <row r="66" spans="1:2" x14ac:dyDescent="0.35">
      <c r="A66" s="6" t="s">
        <v>15</v>
      </c>
      <c r="B66" s="1">
        <v>12</v>
      </c>
    </row>
    <row r="67" spans="1:2" x14ac:dyDescent="0.35">
      <c r="A67" s="6" t="s">
        <v>86</v>
      </c>
      <c r="B67" s="1">
        <v>1</v>
      </c>
    </row>
    <row r="68" spans="1:2" x14ac:dyDescent="0.35">
      <c r="A68" s="6" t="s">
        <v>67</v>
      </c>
      <c r="B68" s="1">
        <v>15</v>
      </c>
    </row>
    <row r="69" spans="1:2" x14ac:dyDescent="0.35">
      <c r="A69" s="6" t="s">
        <v>103</v>
      </c>
      <c r="B69" s="1">
        <v>1</v>
      </c>
    </row>
    <row r="70" spans="1:2" x14ac:dyDescent="0.35">
      <c r="A70" s="6" t="s">
        <v>73</v>
      </c>
      <c r="B70" s="1">
        <v>5</v>
      </c>
    </row>
    <row r="71" spans="1:2" x14ac:dyDescent="0.35">
      <c r="A71" s="6" t="s">
        <v>29</v>
      </c>
      <c r="B71" s="1">
        <v>7</v>
      </c>
    </row>
    <row r="72" spans="1:2" x14ac:dyDescent="0.35">
      <c r="A72" s="6" t="s">
        <v>22</v>
      </c>
      <c r="B72" s="1">
        <v>3</v>
      </c>
    </row>
    <row r="73" spans="1:2" x14ac:dyDescent="0.35">
      <c r="A73" s="6" t="s">
        <v>18</v>
      </c>
      <c r="B73" s="1">
        <v>6</v>
      </c>
    </row>
    <row r="74" spans="1:2" x14ac:dyDescent="0.35">
      <c r="A74" s="6" t="s">
        <v>13</v>
      </c>
      <c r="B74" s="1">
        <v>5</v>
      </c>
    </row>
    <row r="75" spans="1:2" x14ac:dyDescent="0.35">
      <c r="A75" s="6" t="s">
        <v>44</v>
      </c>
      <c r="B75" s="1">
        <v>0</v>
      </c>
    </row>
    <row r="76" spans="1:2" x14ac:dyDescent="0.35">
      <c r="A76" s="6" t="s">
        <v>37</v>
      </c>
      <c r="B76" s="1">
        <v>9</v>
      </c>
    </row>
    <row r="77" spans="1:2" x14ac:dyDescent="0.35">
      <c r="A77" s="6" t="s">
        <v>27</v>
      </c>
      <c r="B77" s="1">
        <v>6</v>
      </c>
    </row>
    <row r="78" spans="1:2" x14ac:dyDescent="0.35">
      <c r="A78" s="6" t="s">
        <v>107</v>
      </c>
      <c r="B78" s="1">
        <v>0</v>
      </c>
    </row>
    <row r="79" spans="1:2" x14ac:dyDescent="0.35">
      <c r="A79" s="6" t="s">
        <v>23</v>
      </c>
      <c r="B79" s="1">
        <v>5</v>
      </c>
    </row>
    <row r="80" spans="1:2" x14ac:dyDescent="0.35">
      <c r="A80" s="6" t="s">
        <v>82</v>
      </c>
      <c r="B80" s="1">
        <v>1</v>
      </c>
    </row>
    <row r="81" spans="1:2" x14ac:dyDescent="0.35">
      <c r="A81" s="6" t="s">
        <v>6</v>
      </c>
      <c r="B81" s="1">
        <v>14</v>
      </c>
    </row>
    <row r="82" spans="1:2" x14ac:dyDescent="0.35">
      <c r="A82" s="6" t="s">
        <v>100</v>
      </c>
      <c r="B82" s="1">
        <v>0</v>
      </c>
    </row>
    <row r="83" spans="1:2" x14ac:dyDescent="0.35">
      <c r="A83" s="6" t="s">
        <v>46</v>
      </c>
      <c r="B83" s="1">
        <v>0</v>
      </c>
    </row>
    <row r="84" spans="1:2" x14ac:dyDescent="0.35">
      <c r="A84" s="6" t="s">
        <v>19</v>
      </c>
      <c r="B84" s="1">
        <v>9</v>
      </c>
    </row>
    <row r="85" spans="1:2" x14ac:dyDescent="0.35">
      <c r="A85" s="6" t="s">
        <v>91</v>
      </c>
      <c r="B85" s="1">
        <v>0</v>
      </c>
    </row>
    <row r="86" spans="1:2" x14ac:dyDescent="0.35">
      <c r="A86" s="6" t="s">
        <v>34</v>
      </c>
      <c r="B86" s="1">
        <v>0</v>
      </c>
    </row>
    <row r="87" spans="1:2" x14ac:dyDescent="0.35">
      <c r="A87" s="6" t="s">
        <v>57</v>
      </c>
      <c r="B87" s="1">
        <v>0</v>
      </c>
    </row>
    <row r="88" spans="1:2" x14ac:dyDescent="0.35">
      <c r="A88" s="6" t="s">
        <v>64</v>
      </c>
      <c r="B88" s="1">
        <v>10</v>
      </c>
    </row>
    <row r="89" spans="1:2" x14ac:dyDescent="0.35">
      <c r="A89" s="6" t="s">
        <v>87</v>
      </c>
      <c r="B89" s="1">
        <v>0</v>
      </c>
    </row>
    <row r="90" spans="1:2" x14ac:dyDescent="0.35">
      <c r="A90" s="6" t="s">
        <v>89</v>
      </c>
      <c r="B90" s="1">
        <v>0</v>
      </c>
    </row>
    <row r="91" spans="1:2" x14ac:dyDescent="0.35">
      <c r="A91" s="6" t="s">
        <v>21</v>
      </c>
      <c r="B91" s="1">
        <v>2</v>
      </c>
    </row>
    <row r="92" spans="1:2" x14ac:dyDescent="0.35">
      <c r="A92" s="6" t="s">
        <v>55</v>
      </c>
      <c r="B92" s="1">
        <v>0</v>
      </c>
    </row>
    <row r="93" spans="1:2" x14ac:dyDescent="0.35">
      <c r="A93" s="6" t="s">
        <v>56</v>
      </c>
      <c r="B93" s="1">
        <v>0</v>
      </c>
    </row>
    <row r="94" spans="1:2" x14ac:dyDescent="0.35">
      <c r="A94" s="6" t="s">
        <v>9</v>
      </c>
      <c r="B94" s="1">
        <v>5</v>
      </c>
    </row>
    <row r="95" spans="1:2" x14ac:dyDescent="0.35">
      <c r="A95" s="6" t="s">
        <v>7</v>
      </c>
      <c r="B95" s="1">
        <v>24</v>
      </c>
    </row>
    <row r="96" spans="1:2" x14ac:dyDescent="0.35">
      <c r="A96" s="6" t="s">
        <v>98</v>
      </c>
      <c r="B96" s="1">
        <v>0</v>
      </c>
    </row>
    <row r="97" spans="1:2" x14ac:dyDescent="0.35">
      <c r="A97" s="6" t="s">
        <v>31</v>
      </c>
      <c r="B97" s="1">
        <v>12</v>
      </c>
    </row>
    <row r="98" spans="1:2" x14ac:dyDescent="0.35">
      <c r="A98" s="6" t="s">
        <v>93</v>
      </c>
      <c r="B98" s="1">
        <v>0</v>
      </c>
    </row>
    <row r="99" spans="1:2" x14ac:dyDescent="0.35">
      <c r="A99" s="6" t="s">
        <v>42</v>
      </c>
      <c r="B99" s="1">
        <v>36</v>
      </c>
    </row>
    <row r="100" spans="1:2" x14ac:dyDescent="0.35">
      <c r="A100" s="6" t="s">
        <v>94</v>
      </c>
      <c r="B100" s="1">
        <v>0</v>
      </c>
    </row>
    <row r="101" spans="1:2" x14ac:dyDescent="0.35">
      <c r="A101" s="6" t="s">
        <v>48</v>
      </c>
      <c r="B101" s="1">
        <v>0</v>
      </c>
    </row>
    <row r="102" spans="1:2" x14ac:dyDescent="0.35">
      <c r="A102" s="6" t="s">
        <v>109</v>
      </c>
      <c r="B102" s="1">
        <v>0</v>
      </c>
    </row>
    <row r="103" spans="1:2" x14ac:dyDescent="0.35">
      <c r="A103" s="6" t="s">
        <v>59</v>
      </c>
      <c r="B103" s="1">
        <v>0</v>
      </c>
    </row>
    <row r="104" spans="1:2" x14ac:dyDescent="0.35">
      <c r="A104" s="6" t="s">
        <v>110</v>
      </c>
      <c r="B104" s="1">
        <v>0</v>
      </c>
    </row>
    <row r="105" spans="1:2" x14ac:dyDescent="0.35">
      <c r="A105" s="6" t="s">
        <v>68</v>
      </c>
      <c r="B105" s="1">
        <v>16</v>
      </c>
    </row>
    <row r="106" spans="1:2" x14ac:dyDescent="0.35">
      <c r="A106" s="6" t="s">
        <v>92</v>
      </c>
      <c r="B106" s="1">
        <v>0</v>
      </c>
    </row>
    <row r="107" spans="1:2" x14ac:dyDescent="0.35">
      <c r="A107" s="6" t="s">
        <v>97</v>
      </c>
      <c r="B107" s="1">
        <v>0</v>
      </c>
    </row>
    <row r="108" spans="1:2" x14ac:dyDescent="0.35">
      <c r="A108" s="6" t="s">
        <v>112</v>
      </c>
      <c r="B108" s="1">
        <v>1</v>
      </c>
    </row>
    <row r="109" spans="1:2" x14ac:dyDescent="0.35">
      <c r="A109" s="6" t="s">
        <v>90</v>
      </c>
      <c r="B109" s="1">
        <v>0</v>
      </c>
    </row>
    <row r="110" spans="1:2" x14ac:dyDescent="0.35">
      <c r="A110" s="6" t="s">
        <v>74</v>
      </c>
      <c r="B110" s="1">
        <v>6</v>
      </c>
    </row>
    <row r="111" spans="1:2" x14ac:dyDescent="0.35">
      <c r="A111" s="6" t="s">
        <v>8</v>
      </c>
      <c r="B111" s="1">
        <v>7</v>
      </c>
    </row>
    <row r="112" spans="1:2" x14ac:dyDescent="0.35">
      <c r="A112" s="6" t="s">
        <v>75</v>
      </c>
      <c r="B112" s="1">
        <v>5</v>
      </c>
    </row>
    <row r="113" spans="1:2" x14ac:dyDescent="0.35">
      <c r="A113" s="6" t="s">
        <v>123</v>
      </c>
      <c r="B113" s="1"/>
    </row>
    <row r="114" spans="1:2" x14ac:dyDescent="0.35">
      <c r="A114" s="6" t="s">
        <v>124</v>
      </c>
      <c r="B114" s="1">
        <v>723</v>
      </c>
    </row>
  </sheetData>
  <conditionalFormatting sqref="B1:B3 B115:B1048576">
    <cfRule type="top10" dxfId="35" priority="1" rank="10"/>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54C41-0B9A-4EE8-BE91-101B9ABB5579}">
  <dimension ref="A1:B114"/>
  <sheetViews>
    <sheetView workbookViewId="0">
      <selection activeCell="A9" sqref="A4:A113"/>
      <pivotSelection pane="bottomRight" showHeader="1" axis="axisRow" activeRow="8" previousRow="8" click="1" r:id="rId1">
        <pivotArea dataOnly="0" labelOnly="1" fieldPosition="0">
          <references count="1">
            <reference field="0" count="0"/>
          </references>
        </pivotArea>
      </pivotSelection>
    </sheetView>
  </sheetViews>
  <sheetFormatPr defaultRowHeight="14.5" x14ac:dyDescent="0.35"/>
  <cols>
    <col min="1" max="1" width="89.1796875" bestFit="1" customWidth="1"/>
    <col min="2" max="2" width="12.36328125" bestFit="1" customWidth="1"/>
  </cols>
  <sheetData>
    <row r="1" spans="1:2" x14ac:dyDescent="0.35">
      <c r="B1" t="s">
        <v>114</v>
      </c>
    </row>
    <row r="3" spans="1:2" x14ac:dyDescent="0.35">
      <c r="A3" s="5" t="s">
        <v>139</v>
      </c>
      <c r="B3" t="s">
        <v>141</v>
      </c>
    </row>
    <row r="4" spans="1:2" x14ac:dyDescent="0.35">
      <c r="A4" s="6" t="s">
        <v>43</v>
      </c>
      <c r="B4" s="1">
        <v>4.5</v>
      </c>
    </row>
    <row r="5" spans="1:2" x14ac:dyDescent="0.35">
      <c r="A5" s="6" t="s">
        <v>16</v>
      </c>
      <c r="B5" s="1">
        <v>4.7</v>
      </c>
    </row>
    <row r="6" spans="1:2" x14ac:dyDescent="0.35">
      <c r="A6" s="6" t="s">
        <v>140</v>
      </c>
      <c r="B6" s="1">
        <v>4.5</v>
      </c>
    </row>
    <row r="7" spans="1:2" x14ac:dyDescent="0.35">
      <c r="A7" s="6" t="s">
        <v>32</v>
      </c>
      <c r="B7" s="1">
        <v>3.8</v>
      </c>
    </row>
    <row r="8" spans="1:2" x14ac:dyDescent="0.35">
      <c r="A8" s="6" t="s">
        <v>36</v>
      </c>
      <c r="B8" s="1">
        <v>4.7</v>
      </c>
    </row>
    <row r="9" spans="1:2" x14ac:dyDescent="0.35">
      <c r="A9" s="6" t="s">
        <v>66</v>
      </c>
      <c r="B9" s="1">
        <v>2.8</v>
      </c>
    </row>
    <row r="10" spans="1:2" x14ac:dyDescent="0.35">
      <c r="A10" s="6" t="s">
        <v>62</v>
      </c>
      <c r="B10" s="1">
        <v>0</v>
      </c>
    </row>
    <row r="11" spans="1:2" x14ac:dyDescent="0.35">
      <c r="A11" s="6" t="s">
        <v>14</v>
      </c>
      <c r="B11" s="1">
        <v>3.8</v>
      </c>
    </row>
    <row r="12" spans="1:2" x14ac:dyDescent="0.35">
      <c r="A12" s="6" t="s">
        <v>11</v>
      </c>
      <c r="B12" s="1">
        <v>4.5999999999999996</v>
      </c>
    </row>
    <row r="13" spans="1:2" x14ac:dyDescent="0.35">
      <c r="A13" s="6" t="s">
        <v>106</v>
      </c>
      <c r="B13" s="1">
        <v>0</v>
      </c>
    </row>
    <row r="14" spans="1:2" x14ac:dyDescent="0.35">
      <c r="A14" s="6" t="s">
        <v>85</v>
      </c>
      <c r="B14" s="1">
        <v>0</v>
      </c>
    </row>
    <row r="15" spans="1:2" x14ac:dyDescent="0.35">
      <c r="A15" s="6" t="s">
        <v>10</v>
      </c>
      <c r="B15" s="1">
        <v>4</v>
      </c>
    </row>
    <row r="16" spans="1:2" x14ac:dyDescent="0.35">
      <c r="A16" s="6" t="s">
        <v>105</v>
      </c>
      <c r="B16" s="1">
        <v>0</v>
      </c>
    </row>
    <row r="17" spans="1:2" x14ac:dyDescent="0.35">
      <c r="A17" s="6" t="s">
        <v>96</v>
      </c>
      <c r="B17" s="1">
        <v>0</v>
      </c>
    </row>
    <row r="18" spans="1:2" x14ac:dyDescent="0.35">
      <c r="A18" s="6" t="s">
        <v>52</v>
      </c>
      <c r="B18" s="1">
        <v>0</v>
      </c>
    </row>
    <row r="19" spans="1:2" x14ac:dyDescent="0.35">
      <c r="A19" s="6" t="s">
        <v>78</v>
      </c>
      <c r="B19" s="1">
        <v>0</v>
      </c>
    </row>
    <row r="20" spans="1:2" x14ac:dyDescent="0.35">
      <c r="A20" s="6" t="s">
        <v>71</v>
      </c>
      <c r="B20" s="1">
        <v>3</v>
      </c>
    </row>
    <row r="21" spans="1:2" x14ac:dyDescent="0.35">
      <c r="A21" s="6" t="s">
        <v>70</v>
      </c>
      <c r="B21" s="1">
        <v>2.2999999999999998</v>
      </c>
    </row>
    <row r="22" spans="1:2" x14ac:dyDescent="0.35">
      <c r="A22" s="6" t="s">
        <v>24</v>
      </c>
      <c r="B22" s="1">
        <v>4.5999999999999996</v>
      </c>
    </row>
    <row r="23" spans="1:2" x14ac:dyDescent="0.35">
      <c r="A23" s="6" t="s">
        <v>79</v>
      </c>
      <c r="B23" s="1">
        <v>0</v>
      </c>
    </row>
    <row r="24" spans="1:2" x14ac:dyDescent="0.35">
      <c r="A24" s="6" t="s">
        <v>25</v>
      </c>
      <c r="B24" s="1">
        <v>3.3</v>
      </c>
    </row>
    <row r="25" spans="1:2" x14ac:dyDescent="0.35">
      <c r="A25" s="6" t="s">
        <v>99</v>
      </c>
      <c r="B25" s="1">
        <v>0</v>
      </c>
    </row>
    <row r="26" spans="1:2" x14ac:dyDescent="0.35">
      <c r="A26" s="6" t="s">
        <v>17</v>
      </c>
      <c r="B26" s="1">
        <v>4.8</v>
      </c>
    </row>
    <row r="27" spans="1:2" x14ac:dyDescent="0.35">
      <c r="A27" s="6" t="s">
        <v>45</v>
      </c>
      <c r="B27" s="1">
        <v>0</v>
      </c>
    </row>
    <row r="28" spans="1:2" x14ac:dyDescent="0.35">
      <c r="A28" s="6" t="s">
        <v>26</v>
      </c>
      <c r="B28" s="1">
        <v>0</v>
      </c>
    </row>
    <row r="29" spans="1:2" x14ac:dyDescent="0.35">
      <c r="A29" s="6" t="s">
        <v>63</v>
      </c>
      <c r="B29" s="1">
        <v>2.5</v>
      </c>
    </row>
    <row r="30" spans="1:2" x14ac:dyDescent="0.35">
      <c r="A30" s="6" t="s">
        <v>33</v>
      </c>
      <c r="B30" s="1">
        <v>4.0999999999999996</v>
      </c>
    </row>
    <row r="31" spans="1:2" x14ac:dyDescent="0.35">
      <c r="A31" s="6" t="s">
        <v>39</v>
      </c>
      <c r="B31" s="1">
        <v>4.5</v>
      </c>
    </row>
    <row r="32" spans="1:2" x14ac:dyDescent="0.35">
      <c r="A32" s="6" t="s">
        <v>38</v>
      </c>
      <c r="B32" s="1">
        <v>4.7</v>
      </c>
    </row>
    <row r="33" spans="1:2" x14ac:dyDescent="0.35">
      <c r="A33" s="6" t="s">
        <v>84</v>
      </c>
      <c r="B33" s="1">
        <v>0</v>
      </c>
    </row>
    <row r="34" spans="1:2" x14ac:dyDescent="0.35">
      <c r="A34" s="6" t="s">
        <v>65</v>
      </c>
      <c r="B34" s="1">
        <v>2.1</v>
      </c>
    </row>
    <row r="35" spans="1:2" x14ac:dyDescent="0.35">
      <c r="A35" s="6" t="s">
        <v>111</v>
      </c>
      <c r="B35" s="1">
        <v>0</v>
      </c>
    </row>
    <row r="36" spans="1:2" x14ac:dyDescent="0.35">
      <c r="A36" s="6" t="s">
        <v>95</v>
      </c>
      <c r="B36" s="1">
        <v>0</v>
      </c>
    </row>
    <row r="37" spans="1:2" x14ac:dyDescent="0.35">
      <c r="A37" s="6" t="s">
        <v>50</v>
      </c>
      <c r="B37" s="1">
        <v>0</v>
      </c>
    </row>
    <row r="38" spans="1:2" x14ac:dyDescent="0.35">
      <c r="A38" s="6" t="s">
        <v>81</v>
      </c>
      <c r="B38" s="1">
        <v>0</v>
      </c>
    </row>
    <row r="39" spans="1:2" x14ac:dyDescent="0.35">
      <c r="A39" s="6" t="s">
        <v>76</v>
      </c>
      <c r="B39" s="1">
        <v>2.2000000000000002</v>
      </c>
    </row>
    <row r="40" spans="1:2" x14ac:dyDescent="0.35">
      <c r="A40" s="6" t="s">
        <v>102</v>
      </c>
      <c r="B40" s="1">
        <v>0</v>
      </c>
    </row>
    <row r="41" spans="1:2" x14ac:dyDescent="0.35">
      <c r="A41" s="6" t="s">
        <v>104</v>
      </c>
      <c r="B41" s="1">
        <v>0</v>
      </c>
    </row>
    <row r="42" spans="1:2" x14ac:dyDescent="0.35">
      <c r="A42" s="6" t="s">
        <v>72</v>
      </c>
      <c r="B42" s="1">
        <v>2.6</v>
      </c>
    </row>
    <row r="43" spans="1:2" x14ac:dyDescent="0.35">
      <c r="A43" s="6" t="s">
        <v>61</v>
      </c>
      <c r="B43" s="1">
        <v>0</v>
      </c>
    </row>
    <row r="44" spans="1:2" x14ac:dyDescent="0.35">
      <c r="A44" s="6" t="s">
        <v>20</v>
      </c>
      <c r="B44" s="1">
        <v>5</v>
      </c>
    </row>
    <row r="45" spans="1:2" x14ac:dyDescent="0.35">
      <c r="A45" s="6" t="s">
        <v>69</v>
      </c>
      <c r="B45" s="1">
        <v>2.2000000000000002</v>
      </c>
    </row>
    <row r="46" spans="1:2" x14ac:dyDescent="0.35">
      <c r="A46" s="6" t="s">
        <v>101</v>
      </c>
      <c r="B46" s="1">
        <v>0</v>
      </c>
    </row>
    <row r="47" spans="1:2" x14ac:dyDescent="0.35">
      <c r="A47" s="6" t="s">
        <v>47</v>
      </c>
      <c r="B47" s="1">
        <v>0</v>
      </c>
    </row>
    <row r="48" spans="1:2" x14ac:dyDescent="0.35">
      <c r="A48" s="6" t="s">
        <v>83</v>
      </c>
      <c r="B48" s="1">
        <v>5</v>
      </c>
    </row>
    <row r="49" spans="1:2" x14ac:dyDescent="0.35">
      <c r="A49" s="6" t="s">
        <v>113</v>
      </c>
      <c r="B49" s="1">
        <v>0</v>
      </c>
    </row>
    <row r="50" spans="1:2" x14ac:dyDescent="0.35">
      <c r="A50" s="6" t="s">
        <v>54</v>
      </c>
      <c r="B50" s="1">
        <v>0</v>
      </c>
    </row>
    <row r="51" spans="1:2" x14ac:dyDescent="0.35">
      <c r="A51" s="6" t="s">
        <v>51</v>
      </c>
      <c r="B51" s="1">
        <v>0</v>
      </c>
    </row>
    <row r="52" spans="1:2" x14ac:dyDescent="0.35">
      <c r="A52" s="6" t="s">
        <v>88</v>
      </c>
      <c r="B52" s="1">
        <v>0</v>
      </c>
    </row>
    <row r="53" spans="1:2" x14ac:dyDescent="0.35">
      <c r="A53" s="6" t="s">
        <v>108</v>
      </c>
      <c r="B53" s="1">
        <v>0</v>
      </c>
    </row>
    <row r="54" spans="1:2" x14ac:dyDescent="0.35">
      <c r="A54" s="6" t="s">
        <v>49</v>
      </c>
      <c r="B54" s="1">
        <v>0</v>
      </c>
    </row>
    <row r="55" spans="1:2" x14ac:dyDescent="0.35">
      <c r="A55" s="6" t="s">
        <v>60</v>
      </c>
      <c r="B55" s="1">
        <v>0</v>
      </c>
    </row>
    <row r="56" spans="1:2" x14ac:dyDescent="0.35">
      <c r="A56" s="6" t="s">
        <v>41</v>
      </c>
      <c r="B56" s="1">
        <v>5</v>
      </c>
    </row>
    <row r="57" spans="1:2" x14ac:dyDescent="0.35">
      <c r="A57" s="6" t="s">
        <v>53</v>
      </c>
      <c r="B57" s="1">
        <v>0</v>
      </c>
    </row>
    <row r="58" spans="1:2" x14ac:dyDescent="0.35">
      <c r="A58" s="6" t="s">
        <v>80</v>
      </c>
      <c r="B58" s="1">
        <v>0</v>
      </c>
    </row>
    <row r="59" spans="1:2" x14ac:dyDescent="0.35">
      <c r="A59" s="6" t="s">
        <v>58</v>
      </c>
      <c r="B59" s="1">
        <v>0</v>
      </c>
    </row>
    <row r="60" spans="1:2" x14ac:dyDescent="0.35">
      <c r="A60" s="6" t="s">
        <v>12</v>
      </c>
      <c r="B60" s="1">
        <v>4</v>
      </c>
    </row>
    <row r="61" spans="1:2" x14ac:dyDescent="0.35">
      <c r="A61" s="6" t="s">
        <v>40</v>
      </c>
      <c r="B61" s="1">
        <v>5</v>
      </c>
    </row>
    <row r="62" spans="1:2" x14ac:dyDescent="0.35">
      <c r="A62" s="6" t="s">
        <v>77</v>
      </c>
      <c r="B62" s="1">
        <v>2.1</v>
      </c>
    </row>
    <row r="63" spans="1:2" x14ac:dyDescent="0.35">
      <c r="A63" s="6" t="s">
        <v>30</v>
      </c>
      <c r="B63" s="1">
        <v>4.5999999999999996</v>
      </c>
    </row>
    <row r="64" spans="1:2" x14ac:dyDescent="0.35">
      <c r="A64" s="6" t="s">
        <v>35</v>
      </c>
      <c r="B64" s="1">
        <v>4.3</v>
      </c>
    </row>
    <row r="65" spans="1:2" x14ac:dyDescent="0.35">
      <c r="A65" s="6" t="s">
        <v>28</v>
      </c>
      <c r="B65" s="1">
        <v>4.4000000000000004</v>
      </c>
    </row>
    <row r="66" spans="1:2" x14ac:dyDescent="0.35">
      <c r="A66" s="6" t="s">
        <v>15</v>
      </c>
      <c r="B66" s="1">
        <v>4.0999999999999996</v>
      </c>
    </row>
    <row r="67" spans="1:2" x14ac:dyDescent="0.35">
      <c r="A67" s="6" t="s">
        <v>86</v>
      </c>
      <c r="B67" s="1">
        <v>4</v>
      </c>
    </row>
    <row r="68" spans="1:2" x14ac:dyDescent="0.35">
      <c r="A68" s="6" t="s">
        <v>67</v>
      </c>
      <c r="B68" s="1">
        <v>2.7</v>
      </c>
    </row>
    <row r="69" spans="1:2" x14ac:dyDescent="0.35">
      <c r="A69" s="6" t="s">
        <v>103</v>
      </c>
      <c r="B69" s="1">
        <v>5</v>
      </c>
    </row>
    <row r="70" spans="1:2" x14ac:dyDescent="0.35">
      <c r="A70" s="6" t="s">
        <v>73</v>
      </c>
      <c r="B70" s="1">
        <v>3</v>
      </c>
    </row>
    <row r="71" spans="1:2" x14ac:dyDescent="0.35">
      <c r="A71" s="6" t="s">
        <v>29</v>
      </c>
      <c r="B71" s="1">
        <v>4.3</v>
      </c>
    </row>
    <row r="72" spans="1:2" x14ac:dyDescent="0.35">
      <c r="A72" s="6" t="s">
        <v>22</v>
      </c>
      <c r="B72" s="1">
        <v>5</v>
      </c>
    </row>
    <row r="73" spans="1:2" x14ac:dyDescent="0.35">
      <c r="A73" s="6" t="s">
        <v>18</v>
      </c>
      <c r="B73" s="1">
        <v>4.5</v>
      </c>
    </row>
    <row r="74" spans="1:2" x14ac:dyDescent="0.35">
      <c r="A74" s="6" t="s">
        <v>13</v>
      </c>
      <c r="B74" s="1">
        <v>4.8</v>
      </c>
    </row>
    <row r="75" spans="1:2" x14ac:dyDescent="0.35">
      <c r="A75" s="6" t="s">
        <v>44</v>
      </c>
      <c r="B75" s="1">
        <v>0</v>
      </c>
    </row>
    <row r="76" spans="1:2" x14ac:dyDescent="0.35">
      <c r="A76" s="6" t="s">
        <v>37</v>
      </c>
      <c r="B76" s="1">
        <v>4.3</v>
      </c>
    </row>
    <row r="77" spans="1:2" x14ac:dyDescent="0.35">
      <c r="A77" s="6" t="s">
        <v>27</v>
      </c>
      <c r="B77" s="1">
        <v>4</v>
      </c>
    </row>
    <row r="78" spans="1:2" x14ac:dyDescent="0.35">
      <c r="A78" s="6" t="s">
        <v>107</v>
      </c>
      <c r="B78" s="1">
        <v>0</v>
      </c>
    </row>
    <row r="79" spans="1:2" x14ac:dyDescent="0.35">
      <c r="A79" s="6" t="s">
        <v>23</v>
      </c>
      <c r="B79" s="1">
        <v>4.5999999999999996</v>
      </c>
    </row>
    <row r="80" spans="1:2" x14ac:dyDescent="0.35">
      <c r="A80" s="6" t="s">
        <v>82</v>
      </c>
      <c r="B80" s="1">
        <v>3</v>
      </c>
    </row>
    <row r="81" spans="1:2" x14ac:dyDescent="0.35">
      <c r="A81" s="6" t="s">
        <v>6</v>
      </c>
      <c r="B81" s="1">
        <v>4.0999999999999996</v>
      </c>
    </row>
    <row r="82" spans="1:2" x14ac:dyDescent="0.35">
      <c r="A82" s="6" t="s">
        <v>100</v>
      </c>
      <c r="B82" s="1">
        <v>0</v>
      </c>
    </row>
    <row r="83" spans="1:2" x14ac:dyDescent="0.35">
      <c r="A83" s="6" t="s">
        <v>46</v>
      </c>
      <c r="B83" s="1">
        <v>0</v>
      </c>
    </row>
    <row r="84" spans="1:2" x14ac:dyDescent="0.35">
      <c r="A84" s="6" t="s">
        <v>19</v>
      </c>
      <c r="B84" s="1">
        <v>4.2</v>
      </c>
    </row>
    <row r="85" spans="1:2" x14ac:dyDescent="0.35">
      <c r="A85" s="6" t="s">
        <v>91</v>
      </c>
      <c r="B85" s="1">
        <v>0</v>
      </c>
    </row>
    <row r="86" spans="1:2" x14ac:dyDescent="0.35">
      <c r="A86" s="6" t="s">
        <v>34</v>
      </c>
      <c r="B86" s="1">
        <v>0</v>
      </c>
    </row>
    <row r="87" spans="1:2" x14ac:dyDescent="0.35">
      <c r="A87" s="6" t="s">
        <v>57</v>
      </c>
      <c r="B87" s="1">
        <v>0</v>
      </c>
    </row>
    <row r="88" spans="1:2" x14ac:dyDescent="0.35">
      <c r="A88" s="6" t="s">
        <v>64</v>
      </c>
      <c r="B88" s="1">
        <v>3</v>
      </c>
    </row>
    <row r="89" spans="1:2" x14ac:dyDescent="0.35">
      <c r="A89" s="6" t="s">
        <v>87</v>
      </c>
      <c r="B89" s="1">
        <v>0</v>
      </c>
    </row>
    <row r="90" spans="1:2" x14ac:dyDescent="0.35">
      <c r="A90" s="6" t="s">
        <v>89</v>
      </c>
      <c r="B90" s="1">
        <v>0</v>
      </c>
    </row>
    <row r="91" spans="1:2" x14ac:dyDescent="0.35">
      <c r="A91" s="6" t="s">
        <v>21</v>
      </c>
      <c r="B91" s="1">
        <v>5</v>
      </c>
    </row>
    <row r="92" spans="1:2" x14ac:dyDescent="0.35">
      <c r="A92" s="6" t="s">
        <v>55</v>
      </c>
      <c r="B92" s="1">
        <v>0</v>
      </c>
    </row>
    <row r="93" spans="1:2" x14ac:dyDescent="0.35">
      <c r="A93" s="6" t="s">
        <v>56</v>
      </c>
      <c r="B93" s="1">
        <v>0</v>
      </c>
    </row>
    <row r="94" spans="1:2" x14ac:dyDescent="0.35">
      <c r="A94" s="6" t="s">
        <v>9</v>
      </c>
      <c r="B94" s="1">
        <v>4.8</v>
      </c>
    </row>
    <row r="95" spans="1:2" x14ac:dyDescent="0.35">
      <c r="A95" s="6" t="s">
        <v>7</v>
      </c>
      <c r="B95" s="1">
        <v>4.5999999999999996</v>
      </c>
    </row>
    <row r="96" spans="1:2" x14ac:dyDescent="0.35">
      <c r="A96" s="6" t="s">
        <v>98</v>
      </c>
      <c r="B96" s="1">
        <v>0</v>
      </c>
    </row>
    <row r="97" spans="1:2" x14ac:dyDescent="0.35">
      <c r="A97" s="6" t="s">
        <v>31</v>
      </c>
      <c r="B97" s="1">
        <v>3.8</v>
      </c>
    </row>
    <row r="98" spans="1:2" x14ac:dyDescent="0.35">
      <c r="A98" s="6" t="s">
        <v>93</v>
      </c>
      <c r="B98" s="1">
        <v>0</v>
      </c>
    </row>
    <row r="99" spans="1:2" x14ac:dyDescent="0.35">
      <c r="A99" s="6" t="s">
        <v>42</v>
      </c>
      <c r="B99" s="1">
        <v>4.3</v>
      </c>
    </row>
    <row r="100" spans="1:2" x14ac:dyDescent="0.35">
      <c r="A100" s="6" t="s">
        <v>94</v>
      </c>
      <c r="B100" s="1">
        <v>0</v>
      </c>
    </row>
    <row r="101" spans="1:2" x14ac:dyDescent="0.35">
      <c r="A101" s="6" t="s">
        <v>48</v>
      </c>
      <c r="B101" s="1">
        <v>0</v>
      </c>
    </row>
    <row r="102" spans="1:2" x14ac:dyDescent="0.35">
      <c r="A102" s="6" t="s">
        <v>109</v>
      </c>
      <c r="B102" s="1">
        <v>0</v>
      </c>
    </row>
    <row r="103" spans="1:2" x14ac:dyDescent="0.35">
      <c r="A103" s="6" t="s">
        <v>59</v>
      </c>
      <c r="B103" s="1">
        <v>0</v>
      </c>
    </row>
    <row r="104" spans="1:2" x14ac:dyDescent="0.35">
      <c r="A104" s="6" t="s">
        <v>110</v>
      </c>
      <c r="B104" s="1">
        <v>0</v>
      </c>
    </row>
    <row r="105" spans="1:2" x14ac:dyDescent="0.35">
      <c r="A105" s="6" t="s">
        <v>68</v>
      </c>
      <c r="B105" s="1">
        <v>2.9</v>
      </c>
    </row>
    <row r="106" spans="1:2" x14ac:dyDescent="0.35">
      <c r="A106" s="6" t="s">
        <v>92</v>
      </c>
      <c r="B106" s="1">
        <v>0</v>
      </c>
    </row>
    <row r="107" spans="1:2" x14ac:dyDescent="0.35">
      <c r="A107" s="6" t="s">
        <v>97</v>
      </c>
      <c r="B107" s="1">
        <v>0</v>
      </c>
    </row>
    <row r="108" spans="1:2" x14ac:dyDescent="0.35">
      <c r="A108" s="6" t="s">
        <v>112</v>
      </c>
      <c r="B108" s="1">
        <v>2</v>
      </c>
    </row>
    <row r="109" spans="1:2" x14ac:dyDescent="0.35">
      <c r="A109" s="6" t="s">
        <v>90</v>
      </c>
      <c r="B109" s="1">
        <v>0</v>
      </c>
    </row>
    <row r="110" spans="1:2" x14ac:dyDescent="0.35">
      <c r="A110" s="6" t="s">
        <v>74</v>
      </c>
      <c r="B110" s="1">
        <v>2.2999999999999998</v>
      </c>
    </row>
    <row r="111" spans="1:2" x14ac:dyDescent="0.35">
      <c r="A111" s="6" t="s">
        <v>8</v>
      </c>
      <c r="B111" s="1">
        <v>4.7</v>
      </c>
    </row>
    <row r="112" spans="1:2" x14ac:dyDescent="0.35">
      <c r="A112" s="6" t="s">
        <v>75</v>
      </c>
      <c r="B112" s="1">
        <v>3</v>
      </c>
    </row>
    <row r="113" spans="1:2" x14ac:dyDescent="0.35">
      <c r="A113" s="6" t="s">
        <v>123</v>
      </c>
      <c r="B113" s="1">
        <v>2</v>
      </c>
    </row>
    <row r="114" spans="1:2" x14ac:dyDescent="0.35">
      <c r="A114" s="6" t="s">
        <v>124</v>
      </c>
      <c r="B114" s="1">
        <v>223.70000000000002</v>
      </c>
    </row>
  </sheetData>
  <conditionalFormatting sqref="B1:B3 B115:B1048576">
    <cfRule type="top10" priority="4" rank="5"/>
    <cfRule type="top10" dxfId="33" priority="3" rank="5"/>
    <cfRule type="top10" priority="2" bottom="1" rank="5"/>
    <cfRule type="top10" dxfId="34" priority="1" bottom="1" rank="5"/>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B3644-E801-4149-BF35-2F2BDF70FF0D}">
  <dimension ref="A3:F28"/>
  <sheetViews>
    <sheetView topLeftCell="E1" workbookViewId="0">
      <selection activeCell="D9" sqref="D9"/>
    </sheetView>
  </sheetViews>
  <sheetFormatPr defaultRowHeight="14.5" x14ac:dyDescent="0.35"/>
  <cols>
    <col min="1" max="1" width="16.1796875" bestFit="1" customWidth="1"/>
    <col min="2" max="2" width="15.26953125" bestFit="1" customWidth="1"/>
    <col min="3" max="4" width="11.81640625" bestFit="1" customWidth="1"/>
    <col min="5" max="5" width="6.7265625" bestFit="1" customWidth="1"/>
    <col min="6" max="6" width="11.81640625" bestFit="1" customWidth="1"/>
    <col min="7" max="7" width="4.36328125" bestFit="1" customWidth="1"/>
    <col min="8" max="8" width="6.54296875" bestFit="1" customWidth="1"/>
    <col min="9" max="9" width="4.36328125" bestFit="1" customWidth="1"/>
    <col min="10" max="10" width="6.54296875" bestFit="1" customWidth="1"/>
    <col min="11" max="11" width="4.36328125" bestFit="1" customWidth="1"/>
    <col min="12" max="12" width="3.81640625" bestFit="1" customWidth="1"/>
    <col min="13" max="13" width="6.54296875" bestFit="1" customWidth="1"/>
    <col min="14" max="14" width="4.36328125" bestFit="1" customWidth="1"/>
    <col min="15" max="15" width="3.81640625" bestFit="1" customWidth="1"/>
    <col min="16" max="16" width="6.54296875" bestFit="1" customWidth="1"/>
    <col min="17" max="17" width="4.36328125" bestFit="1" customWidth="1"/>
    <col min="18" max="18" width="6.54296875" bestFit="1" customWidth="1"/>
    <col min="19" max="19" width="4.36328125" bestFit="1" customWidth="1"/>
    <col min="20" max="20" width="6.54296875" bestFit="1" customWidth="1"/>
    <col min="21" max="21" width="4.6328125" bestFit="1" customWidth="1"/>
    <col min="22" max="22" width="7.54296875" bestFit="1" customWidth="1"/>
    <col min="23" max="23" width="4.6328125" bestFit="1" customWidth="1"/>
    <col min="24" max="24" width="3.81640625" bestFit="1" customWidth="1"/>
    <col min="25" max="25" width="7.54296875" bestFit="1" customWidth="1"/>
    <col min="26" max="26" width="4.6328125" bestFit="1" customWidth="1"/>
    <col min="27" max="27" width="7.54296875" bestFit="1" customWidth="1"/>
    <col min="28" max="28" width="4.6328125" bestFit="1" customWidth="1"/>
    <col min="29" max="29" width="7.54296875" bestFit="1" customWidth="1"/>
    <col min="30" max="30" width="4.6328125" bestFit="1" customWidth="1"/>
    <col min="31" max="31" width="3.81640625" bestFit="1" customWidth="1"/>
    <col min="32" max="32" width="7.54296875" bestFit="1" customWidth="1"/>
    <col min="33" max="33" width="4.6328125" bestFit="1" customWidth="1"/>
    <col min="34" max="34" width="7.54296875" bestFit="1" customWidth="1"/>
    <col min="35" max="35" width="4.6328125" bestFit="1" customWidth="1"/>
    <col min="36" max="36" width="7.54296875" bestFit="1" customWidth="1"/>
    <col min="37" max="37" width="4.6328125" bestFit="1" customWidth="1"/>
    <col min="38" max="38" width="7.54296875" bestFit="1" customWidth="1"/>
    <col min="39" max="39" width="4.6328125" bestFit="1" customWidth="1"/>
    <col min="40" max="40" width="7.54296875" bestFit="1" customWidth="1"/>
    <col min="41" max="41" width="10.7265625" bestFit="1" customWidth="1"/>
  </cols>
  <sheetData>
    <row r="3" spans="1:6" x14ac:dyDescent="0.35">
      <c r="A3" s="5" t="s">
        <v>143</v>
      </c>
      <c r="B3" s="5" t="s">
        <v>142</v>
      </c>
    </row>
    <row r="4" spans="1:6" x14ac:dyDescent="0.35">
      <c r="A4" s="5" t="s">
        <v>122</v>
      </c>
      <c r="B4" t="s">
        <v>131</v>
      </c>
      <c r="C4" t="s">
        <v>132</v>
      </c>
      <c r="D4" t="s">
        <v>133</v>
      </c>
      <c r="E4" t="s">
        <v>123</v>
      </c>
      <c r="F4" t="s">
        <v>124</v>
      </c>
    </row>
    <row r="5" spans="1:6" x14ac:dyDescent="0.35">
      <c r="A5" s="6">
        <v>2</v>
      </c>
      <c r="B5" s="1">
        <v>1</v>
      </c>
      <c r="C5" s="1"/>
      <c r="D5" s="1"/>
      <c r="E5" s="1"/>
      <c r="F5" s="1">
        <v>1</v>
      </c>
    </row>
    <row r="6" spans="1:6" x14ac:dyDescent="0.35">
      <c r="A6" s="6">
        <v>2.1</v>
      </c>
      <c r="B6" s="1">
        <v>10</v>
      </c>
      <c r="C6" s="1"/>
      <c r="D6" s="1"/>
      <c r="E6" s="1"/>
      <c r="F6" s="1">
        <v>10</v>
      </c>
    </row>
    <row r="7" spans="1:6" x14ac:dyDescent="0.35">
      <c r="A7" s="6">
        <v>2.2000000000000002</v>
      </c>
      <c r="B7" s="1">
        <v>6</v>
      </c>
      <c r="C7" s="1"/>
      <c r="D7" s="1"/>
      <c r="E7" s="1"/>
      <c r="F7" s="1">
        <v>6</v>
      </c>
    </row>
    <row r="8" spans="1:6" x14ac:dyDescent="0.35">
      <c r="A8" s="6">
        <v>2.2999999999999998</v>
      </c>
      <c r="B8" s="1">
        <v>6.5</v>
      </c>
      <c r="C8" s="1"/>
      <c r="D8" s="1"/>
      <c r="E8" s="1"/>
      <c r="F8" s="1">
        <v>6.5</v>
      </c>
    </row>
    <row r="9" spans="1:6" x14ac:dyDescent="0.35">
      <c r="A9" s="6">
        <v>2.5</v>
      </c>
      <c r="B9" s="1"/>
      <c r="C9" s="1">
        <v>6</v>
      </c>
      <c r="D9" s="1"/>
      <c r="E9" s="1"/>
      <c r="F9" s="1">
        <v>6</v>
      </c>
    </row>
    <row r="10" spans="1:6" x14ac:dyDescent="0.35">
      <c r="A10" s="6">
        <v>2.6</v>
      </c>
      <c r="B10" s="1">
        <v>17</v>
      </c>
      <c r="C10" s="1"/>
      <c r="D10" s="1"/>
      <c r="E10" s="1"/>
      <c r="F10" s="1">
        <v>17</v>
      </c>
    </row>
    <row r="11" spans="1:6" x14ac:dyDescent="0.35">
      <c r="A11" s="6">
        <v>2.7</v>
      </c>
      <c r="B11" s="1">
        <v>15</v>
      </c>
      <c r="C11" s="1"/>
      <c r="D11" s="1"/>
      <c r="E11" s="1"/>
      <c r="F11" s="1">
        <v>15</v>
      </c>
    </row>
    <row r="12" spans="1:6" x14ac:dyDescent="0.35">
      <c r="A12" s="6">
        <v>2.8</v>
      </c>
      <c r="B12" s="1">
        <v>69</v>
      </c>
      <c r="C12" s="1"/>
      <c r="D12" s="1"/>
      <c r="E12" s="1"/>
      <c r="F12" s="1">
        <v>69</v>
      </c>
    </row>
    <row r="13" spans="1:6" x14ac:dyDescent="0.35">
      <c r="A13" s="6">
        <v>2.9</v>
      </c>
      <c r="B13" s="1"/>
      <c r="C13" s="1"/>
      <c r="D13" s="1">
        <v>16</v>
      </c>
      <c r="E13" s="1"/>
      <c r="F13" s="1">
        <v>16</v>
      </c>
    </row>
    <row r="14" spans="1:6" x14ac:dyDescent="0.35">
      <c r="A14" s="6">
        <v>3</v>
      </c>
      <c r="B14" s="1">
        <v>5.333333333333333</v>
      </c>
      <c r="C14" s="1"/>
      <c r="D14" s="1">
        <v>5</v>
      </c>
      <c r="E14" s="1"/>
      <c r="F14" s="1">
        <v>5.2</v>
      </c>
    </row>
    <row r="15" spans="1:6" x14ac:dyDescent="0.35">
      <c r="A15" s="6">
        <v>3.3</v>
      </c>
      <c r="B15" s="1">
        <v>13</v>
      </c>
      <c r="C15" s="1"/>
      <c r="D15" s="1"/>
      <c r="E15" s="1"/>
      <c r="F15" s="1">
        <v>13</v>
      </c>
    </row>
    <row r="16" spans="1:6" x14ac:dyDescent="0.35">
      <c r="A16" s="6">
        <v>3.8</v>
      </c>
      <c r="B16" s="1">
        <v>5</v>
      </c>
      <c r="C16" s="1">
        <v>12</v>
      </c>
      <c r="D16" s="1">
        <v>13</v>
      </c>
      <c r="E16" s="1"/>
      <c r="F16" s="1">
        <v>10</v>
      </c>
    </row>
    <row r="17" spans="1:6" x14ac:dyDescent="0.35">
      <c r="A17" s="6">
        <v>4</v>
      </c>
      <c r="B17" s="1">
        <v>1</v>
      </c>
      <c r="C17" s="1">
        <v>15</v>
      </c>
      <c r="D17" s="1">
        <v>4</v>
      </c>
      <c r="E17" s="1"/>
      <c r="F17" s="1">
        <v>6</v>
      </c>
    </row>
    <row r="18" spans="1:6" x14ac:dyDescent="0.35">
      <c r="A18" s="6">
        <v>4.0999999999999996</v>
      </c>
      <c r="B18" s="1">
        <v>14</v>
      </c>
      <c r="C18" s="1"/>
      <c r="D18" s="1">
        <v>16</v>
      </c>
      <c r="E18" s="1"/>
      <c r="F18" s="1">
        <v>15.333333333333334</v>
      </c>
    </row>
    <row r="19" spans="1:6" x14ac:dyDescent="0.35">
      <c r="A19" s="6">
        <v>4.2</v>
      </c>
      <c r="B19" s="1"/>
      <c r="C19" s="1"/>
      <c r="D19" s="1">
        <v>9</v>
      </c>
      <c r="E19" s="1"/>
      <c r="F19" s="1">
        <v>9</v>
      </c>
    </row>
    <row r="20" spans="1:6" x14ac:dyDescent="0.35">
      <c r="A20" s="6">
        <v>4.3</v>
      </c>
      <c r="B20" s="1">
        <v>15.25</v>
      </c>
      <c r="C20" s="1"/>
      <c r="D20" s="1"/>
      <c r="E20" s="1"/>
      <c r="F20" s="1">
        <v>15.25</v>
      </c>
    </row>
    <row r="21" spans="1:6" x14ac:dyDescent="0.35">
      <c r="A21" s="6">
        <v>4.4000000000000004</v>
      </c>
      <c r="B21" s="1"/>
      <c r="C21" s="1"/>
      <c r="D21" s="1">
        <v>14</v>
      </c>
      <c r="E21" s="1"/>
      <c r="F21" s="1">
        <v>14</v>
      </c>
    </row>
    <row r="22" spans="1:6" x14ac:dyDescent="0.35">
      <c r="A22" s="6">
        <v>4.5</v>
      </c>
      <c r="B22" s="1">
        <v>6</v>
      </c>
      <c r="C22" s="1"/>
      <c r="D22" s="1">
        <v>12</v>
      </c>
      <c r="E22" s="1"/>
      <c r="F22" s="1">
        <v>10.5</v>
      </c>
    </row>
    <row r="23" spans="1:6" x14ac:dyDescent="0.35">
      <c r="A23" s="6">
        <v>4.5999999999999996</v>
      </c>
      <c r="B23" s="1">
        <v>44</v>
      </c>
      <c r="C23" s="1">
        <v>5</v>
      </c>
      <c r="D23" s="1">
        <v>42.666666666666664</v>
      </c>
      <c r="E23" s="1"/>
      <c r="F23" s="1">
        <v>35.4</v>
      </c>
    </row>
    <row r="24" spans="1:6" x14ac:dyDescent="0.35">
      <c r="A24" s="6">
        <v>4.7</v>
      </c>
      <c r="B24" s="1"/>
      <c r="C24" s="1"/>
      <c r="D24" s="1">
        <v>19.5</v>
      </c>
      <c r="E24" s="1"/>
      <c r="F24" s="1">
        <v>19.5</v>
      </c>
    </row>
    <row r="25" spans="1:6" x14ac:dyDescent="0.35">
      <c r="A25" s="6">
        <v>4.8</v>
      </c>
      <c r="B25" s="1">
        <v>8.5</v>
      </c>
      <c r="C25" s="1"/>
      <c r="D25" s="1">
        <v>5</v>
      </c>
      <c r="E25" s="1"/>
      <c r="F25" s="1">
        <v>7.333333333333333</v>
      </c>
    </row>
    <row r="26" spans="1:6" x14ac:dyDescent="0.35">
      <c r="A26" s="6">
        <v>5</v>
      </c>
      <c r="B26" s="1">
        <v>2</v>
      </c>
      <c r="C26" s="1"/>
      <c r="D26" s="1">
        <v>1</v>
      </c>
      <c r="E26" s="1"/>
      <c r="F26" s="1">
        <v>1.7142857142857142</v>
      </c>
    </row>
    <row r="27" spans="1:6" x14ac:dyDescent="0.35">
      <c r="A27" s="6" t="s">
        <v>116</v>
      </c>
      <c r="B27" s="1">
        <v>0</v>
      </c>
      <c r="C27" s="1">
        <v>0</v>
      </c>
      <c r="D27" s="1">
        <v>0</v>
      </c>
      <c r="E27" s="1"/>
      <c r="F27" s="1">
        <v>0</v>
      </c>
    </row>
    <row r="28" spans="1:6" x14ac:dyDescent="0.35">
      <c r="A28" s="6" t="s">
        <v>124</v>
      </c>
      <c r="B28" s="1">
        <v>5.6610169491525424</v>
      </c>
      <c r="C28" s="1">
        <v>2.1111111111111112</v>
      </c>
      <c r="D28" s="1">
        <v>10.96875</v>
      </c>
      <c r="E28" s="1"/>
      <c r="F28" s="1">
        <v>6.6330275229357802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63CA8-11CE-4A86-B5AA-3E2693F5B212}">
  <dimension ref="A3:C114"/>
  <sheetViews>
    <sheetView topLeftCell="D1" workbookViewId="0">
      <selection activeCell="M9" sqref="M9"/>
    </sheetView>
  </sheetViews>
  <sheetFormatPr defaultRowHeight="14.5" x14ac:dyDescent="0.35"/>
  <cols>
    <col min="1" max="1" width="89.1796875" bestFit="1" customWidth="1"/>
    <col min="2" max="2" width="15.26953125" bestFit="1" customWidth="1"/>
    <col min="3" max="3" width="15.54296875" bestFit="1" customWidth="1"/>
  </cols>
  <sheetData>
    <row r="3" spans="1:3" x14ac:dyDescent="0.35">
      <c r="A3" s="5" t="s">
        <v>122</v>
      </c>
      <c r="B3" t="s">
        <v>135</v>
      </c>
      <c r="C3" t="s">
        <v>134</v>
      </c>
    </row>
    <row r="4" spans="1:3" x14ac:dyDescent="0.35">
      <c r="A4" s="6" t="s">
        <v>43</v>
      </c>
      <c r="B4" s="1">
        <v>1</v>
      </c>
      <c r="C4" s="1">
        <v>4.5</v>
      </c>
    </row>
    <row r="5" spans="1:3" x14ac:dyDescent="0.35">
      <c r="A5" s="6" t="s">
        <v>16</v>
      </c>
      <c r="B5" s="1">
        <v>1</v>
      </c>
      <c r="C5" s="1">
        <v>4.7</v>
      </c>
    </row>
    <row r="6" spans="1:3" x14ac:dyDescent="0.35">
      <c r="A6" s="6" t="s">
        <v>5</v>
      </c>
      <c r="B6" s="1">
        <v>1</v>
      </c>
      <c r="C6" s="1">
        <v>4.5</v>
      </c>
    </row>
    <row r="7" spans="1:3" x14ac:dyDescent="0.35">
      <c r="A7" s="6" t="s">
        <v>32</v>
      </c>
      <c r="B7" s="1">
        <v>1</v>
      </c>
      <c r="C7" s="1">
        <v>3.8</v>
      </c>
    </row>
    <row r="8" spans="1:3" x14ac:dyDescent="0.35">
      <c r="A8" s="6" t="s">
        <v>36</v>
      </c>
      <c r="B8" s="1">
        <v>1</v>
      </c>
      <c r="C8" s="1">
        <v>4.7</v>
      </c>
    </row>
    <row r="9" spans="1:3" x14ac:dyDescent="0.35">
      <c r="A9" s="6" t="s">
        <v>66</v>
      </c>
      <c r="B9" s="1">
        <v>1</v>
      </c>
      <c r="C9" s="1">
        <v>2.8</v>
      </c>
    </row>
    <row r="10" spans="1:3" x14ac:dyDescent="0.35">
      <c r="A10" s="6" t="s">
        <v>62</v>
      </c>
      <c r="B10" s="1">
        <v>1</v>
      </c>
      <c r="C10" s="1" t="e">
        <v>#DIV/0!</v>
      </c>
    </row>
    <row r="11" spans="1:3" x14ac:dyDescent="0.35">
      <c r="A11" s="6" t="s">
        <v>14</v>
      </c>
      <c r="B11" s="1">
        <v>1</v>
      </c>
      <c r="C11" s="1">
        <v>3.8</v>
      </c>
    </row>
    <row r="12" spans="1:3" x14ac:dyDescent="0.35">
      <c r="A12" s="6" t="s">
        <v>11</v>
      </c>
      <c r="B12" s="1">
        <v>1</v>
      </c>
      <c r="C12" s="1">
        <v>4.5999999999999996</v>
      </c>
    </row>
    <row r="13" spans="1:3" x14ac:dyDescent="0.35">
      <c r="A13" s="6" t="s">
        <v>106</v>
      </c>
      <c r="B13" s="1">
        <v>1</v>
      </c>
      <c r="C13" s="1" t="e">
        <v>#DIV/0!</v>
      </c>
    </row>
    <row r="14" spans="1:3" x14ac:dyDescent="0.35">
      <c r="A14" s="6" t="s">
        <v>85</v>
      </c>
      <c r="B14" s="1">
        <v>1</v>
      </c>
      <c r="C14" s="1" t="e">
        <v>#DIV/0!</v>
      </c>
    </row>
    <row r="15" spans="1:3" x14ac:dyDescent="0.35">
      <c r="A15" s="6" t="s">
        <v>10</v>
      </c>
      <c r="B15" s="1">
        <v>1</v>
      </c>
      <c r="C15" s="1">
        <v>4</v>
      </c>
    </row>
    <row r="16" spans="1:3" x14ac:dyDescent="0.35">
      <c r="A16" s="6" t="s">
        <v>105</v>
      </c>
      <c r="B16" s="1">
        <v>1</v>
      </c>
      <c r="C16" s="1" t="e">
        <v>#DIV/0!</v>
      </c>
    </row>
    <row r="17" spans="1:3" x14ac:dyDescent="0.35">
      <c r="A17" s="6" t="s">
        <v>96</v>
      </c>
      <c r="B17" s="1">
        <v>1</v>
      </c>
      <c r="C17" s="1" t="e">
        <v>#DIV/0!</v>
      </c>
    </row>
    <row r="18" spans="1:3" x14ac:dyDescent="0.35">
      <c r="A18" s="6" t="s">
        <v>52</v>
      </c>
      <c r="B18" s="1">
        <v>1</v>
      </c>
      <c r="C18" s="1" t="e">
        <v>#DIV/0!</v>
      </c>
    </row>
    <row r="19" spans="1:3" x14ac:dyDescent="0.35">
      <c r="A19" s="6" t="s">
        <v>78</v>
      </c>
      <c r="B19" s="1">
        <v>1</v>
      </c>
      <c r="C19" s="1" t="e">
        <v>#DIV/0!</v>
      </c>
    </row>
    <row r="20" spans="1:3" x14ac:dyDescent="0.35">
      <c r="A20" s="6" t="s">
        <v>71</v>
      </c>
      <c r="B20" s="1">
        <v>1</v>
      </c>
      <c r="C20" s="1">
        <v>3</v>
      </c>
    </row>
    <row r="21" spans="1:3" x14ac:dyDescent="0.35">
      <c r="A21" s="6" t="s">
        <v>70</v>
      </c>
      <c r="B21" s="1">
        <v>1</v>
      </c>
      <c r="C21" s="1">
        <v>2.2999999999999998</v>
      </c>
    </row>
    <row r="22" spans="1:3" x14ac:dyDescent="0.35">
      <c r="A22" s="6" t="s">
        <v>24</v>
      </c>
      <c r="B22" s="1">
        <v>1</v>
      </c>
      <c r="C22" s="1">
        <v>4.5999999999999996</v>
      </c>
    </row>
    <row r="23" spans="1:3" x14ac:dyDescent="0.35">
      <c r="A23" s="6" t="s">
        <v>79</v>
      </c>
      <c r="B23" s="1">
        <v>1</v>
      </c>
      <c r="C23" s="1" t="e">
        <v>#DIV/0!</v>
      </c>
    </row>
    <row r="24" spans="1:3" x14ac:dyDescent="0.35">
      <c r="A24" s="6" t="s">
        <v>25</v>
      </c>
      <c r="B24" s="1">
        <v>1</v>
      </c>
      <c r="C24" s="1">
        <v>3.3</v>
      </c>
    </row>
    <row r="25" spans="1:3" x14ac:dyDescent="0.35">
      <c r="A25" s="6" t="s">
        <v>99</v>
      </c>
      <c r="B25" s="1">
        <v>1</v>
      </c>
      <c r="C25" s="1" t="e">
        <v>#DIV/0!</v>
      </c>
    </row>
    <row r="26" spans="1:3" x14ac:dyDescent="0.35">
      <c r="A26" s="6" t="s">
        <v>17</v>
      </c>
      <c r="B26" s="1">
        <v>1</v>
      </c>
      <c r="C26" s="1">
        <v>4.8</v>
      </c>
    </row>
    <row r="27" spans="1:3" x14ac:dyDescent="0.35">
      <c r="A27" s="6" t="s">
        <v>45</v>
      </c>
      <c r="B27" s="1">
        <v>1</v>
      </c>
      <c r="C27" s="1" t="e">
        <v>#DIV/0!</v>
      </c>
    </row>
    <row r="28" spans="1:3" x14ac:dyDescent="0.35">
      <c r="A28" s="6" t="s">
        <v>26</v>
      </c>
      <c r="B28" s="1">
        <v>1</v>
      </c>
      <c r="C28" s="1" t="e">
        <v>#DIV/0!</v>
      </c>
    </row>
    <row r="29" spans="1:3" x14ac:dyDescent="0.35">
      <c r="A29" s="6" t="s">
        <v>63</v>
      </c>
      <c r="B29" s="1">
        <v>1</v>
      </c>
      <c r="C29" s="1">
        <v>2.5</v>
      </c>
    </row>
    <row r="30" spans="1:3" x14ac:dyDescent="0.35">
      <c r="A30" s="6" t="s">
        <v>33</v>
      </c>
      <c r="B30" s="1">
        <v>1</v>
      </c>
      <c r="C30" s="1">
        <v>4.0999999999999996</v>
      </c>
    </row>
    <row r="31" spans="1:3" x14ac:dyDescent="0.35">
      <c r="A31" s="6" t="s">
        <v>39</v>
      </c>
      <c r="B31" s="1">
        <v>1</v>
      </c>
      <c r="C31" s="1">
        <v>4.5</v>
      </c>
    </row>
    <row r="32" spans="1:3" x14ac:dyDescent="0.35">
      <c r="A32" s="6" t="s">
        <v>38</v>
      </c>
      <c r="B32" s="1">
        <v>1</v>
      </c>
      <c r="C32" s="1">
        <v>4.7</v>
      </c>
    </row>
    <row r="33" spans="1:3" x14ac:dyDescent="0.35">
      <c r="A33" s="6" t="s">
        <v>84</v>
      </c>
      <c r="B33" s="1">
        <v>1</v>
      </c>
      <c r="C33" s="1" t="e">
        <v>#DIV/0!</v>
      </c>
    </row>
    <row r="34" spans="1:3" x14ac:dyDescent="0.35">
      <c r="A34" s="6" t="s">
        <v>65</v>
      </c>
      <c r="B34" s="1">
        <v>1</v>
      </c>
      <c r="C34" s="1">
        <v>2.1</v>
      </c>
    </row>
    <row r="35" spans="1:3" x14ac:dyDescent="0.35">
      <c r="A35" s="6" t="s">
        <v>111</v>
      </c>
      <c r="B35" s="1">
        <v>1</v>
      </c>
      <c r="C35" s="1" t="e">
        <v>#DIV/0!</v>
      </c>
    </row>
    <row r="36" spans="1:3" x14ac:dyDescent="0.35">
      <c r="A36" s="6" t="s">
        <v>95</v>
      </c>
      <c r="B36" s="1">
        <v>1</v>
      </c>
      <c r="C36" s="1" t="e">
        <v>#DIV/0!</v>
      </c>
    </row>
    <row r="37" spans="1:3" x14ac:dyDescent="0.35">
      <c r="A37" s="6" t="s">
        <v>50</v>
      </c>
      <c r="B37" s="1">
        <v>1</v>
      </c>
      <c r="C37" s="1" t="e">
        <v>#DIV/0!</v>
      </c>
    </row>
    <row r="38" spans="1:3" x14ac:dyDescent="0.35">
      <c r="A38" s="6" t="s">
        <v>81</v>
      </c>
      <c r="B38" s="1">
        <v>1</v>
      </c>
      <c r="C38" s="1" t="e">
        <v>#DIV/0!</v>
      </c>
    </row>
    <row r="39" spans="1:3" x14ac:dyDescent="0.35">
      <c r="A39" s="6" t="s">
        <v>76</v>
      </c>
      <c r="B39" s="1">
        <v>1</v>
      </c>
      <c r="C39" s="1">
        <v>2.2000000000000002</v>
      </c>
    </row>
    <row r="40" spans="1:3" x14ac:dyDescent="0.35">
      <c r="A40" s="6" t="s">
        <v>102</v>
      </c>
      <c r="B40" s="1">
        <v>1</v>
      </c>
      <c r="C40" s="1" t="e">
        <v>#DIV/0!</v>
      </c>
    </row>
    <row r="41" spans="1:3" x14ac:dyDescent="0.35">
      <c r="A41" s="6" t="s">
        <v>104</v>
      </c>
      <c r="B41" s="1">
        <v>1</v>
      </c>
      <c r="C41" s="1" t="e">
        <v>#DIV/0!</v>
      </c>
    </row>
    <row r="42" spans="1:3" x14ac:dyDescent="0.35">
      <c r="A42" s="6" t="s">
        <v>72</v>
      </c>
      <c r="B42" s="1">
        <v>1</v>
      </c>
      <c r="C42" s="1">
        <v>2.6</v>
      </c>
    </row>
    <row r="43" spans="1:3" x14ac:dyDescent="0.35">
      <c r="A43" s="6" t="s">
        <v>61</v>
      </c>
      <c r="B43" s="1">
        <v>1</v>
      </c>
      <c r="C43" s="1" t="e">
        <v>#DIV/0!</v>
      </c>
    </row>
    <row r="44" spans="1:3" x14ac:dyDescent="0.35">
      <c r="A44" s="6" t="s">
        <v>20</v>
      </c>
      <c r="B44" s="1">
        <v>1</v>
      </c>
      <c r="C44" s="1">
        <v>5</v>
      </c>
    </row>
    <row r="45" spans="1:3" x14ac:dyDescent="0.35">
      <c r="A45" s="6" t="s">
        <v>69</v>
      </c>
      <c r="B45" s="1">
        <v>1</v>
      </c>
      <c r="C45" s="1">
        <v>2.2000000000000002</v>
      </c>
    </row>
    <row r="46" spans="1:3" x14ac:dyDescent="0.35">
      <c r="A46" s="6" t="s">
        <v>101</v>
      </c>
      <c r="B46" s="1">
        <v>1</v>
      </c>
      <c r="C46" s="1" t="e">
        <v>#DIV/0!</v>
      </c>
    </row>
    <row r="47" spans="1:3" x14ac:dyDescent="0.35">
      <c r="A47" s="6" t="s">
        <v>47</v>
      </c>
      <c r="B47" s="1">
        <v>1</v>
      </c>
      <c r="C47" s="1" t="e">
        <v>#DIV/0!</v>
      </c>
    </row>
    <row r="48" spans="1:3" x14ac:dyDescent="0.35">
      <c r="A48" s="6" t="s">
        <v>83</v>
      </c>
      <c r="B48" s="1">
        <v>1</v>
      </c>
      <c r="C48" s="1">
        <v>5</v>
      </c>
    </row>
    <row r="49" spans="1:3" x14ac:dyDescent="0.35">
      <c r="A49" s="6" t="s">
        <v>113</v>
      </c>
      <c r="B49" s="1">
        <v>1</v>
      </c>
      <c r="C49" s="1" t="e">
        <v>#DIV/0!</v>
      </c>
    </row>
    <row r="50" spans="1:3" x14ac:dyDescent="0.35">
      <c r="A50" s="6" t="s">
        <v>54</v>
      </c>
      <c r="B50" s="1">
        <v>1</v>
      </c>
      <c r="C50" s="1" t="e">
        <v>#DIV/0!</v>
      </c>
    </row>
    <row r="51" spans="1:3" x14ac:dyDescent="0.35">
      <c r="A51" s="6" t="s">
        <v>51</v>
      </c>
      <c r="B51" s="1">
        <v>1</v>
      </c>
      <c r="C51" s="1" t="e">
        <v>#DIV/0!</v>
      </c>
    </row>
    <row r="52" spans="1:3" x14ac:dyDescent="0.35">
      <c r="A52" s="6" t="s">
        <v>88</v>
      </c>
      <c r="B52" s="1">
        <v>1</v>
      </c>
      <c r="C52" s="1" t="e">
        <v>#DIV/0!</v>
      </c>
    </row>
    <row r="53" spans="1:3" x14ac:dyDescent="0.35">
      <c r="A53" s="6" t="s">
        <v>108</v>
      </c>
      <c r="B53" s="1">
        <v>1</v>
      </c>
      <c r="C53" s="1" t="e">
        <v>#DIV/0!</v>
      </c>
    </row>
    <row r="54" spans="1:3" x14ac:dyDescent="0.35">
      <c r="A54" s="6" t="s">
        <v>49</v>
      </c>
      <c r="B54" s="1">
        <v>1</v>
      </c>
      <c r="C54" s="1" t="e">
        <v>#DIV/0!</v>
      </c>
    </row>
    <row r="55" spans="1:3" x14ac:dyDescent="0.35">
      <c r="A55" s="6" t="s">
        <v>60</v>
      </c>
      <c r="B55" s="1">
        <v>1</v>
      </c>
      <c r="C55" s="1" t="e">
        <v>#DIV/0!</v>
      </c>
    </row>
    <row r="56" spans="1:3" x14ac:dyDescent="0.35">
      <c r="A56" s="6" t="s">
        <v>41</v>
      </c>
      <c r="B56" s="1">
        <v>1</v>
      </c>
      <c r="C56" s="1">
        <v>5</v>
      </c>
    </row>
    <row r="57" spans="1:3" x14ac:dyDescent="0.35">
      <c r="A57" s="6" t="s">
        <v>53</v>
      </c>
      <c r="B57" s="1">
        <v>1</v>
      </c>
      <c r="C57" s="1" t="e">
        <v>#DIV/0!</v>
      </c>
    </row>
    <row r="58" spans="1:3" x14ac:dyDescent="0.35">
      <c r="A58" s="6" t="s">
        <v>80</v>
      </c>
      <c r="B58" s="1">
        <v>1</v>
      </c>
      <c r="C58" s="1" t="e">
        <v>#DIV/0!</v>
      </c>
    </row>
    <row r="59" spans="1:3" x14ac:dyDescent="0.35">
      <c r="A59" s="6" t="s">
        <v>58</v>
      </c>
      <c r="B59" s="1">
        <v>1</v>
      </c>
      <c r="C59" s="1" t="e">
        <v>#DIV/0!</v>
      </c>
    </row>
    <row r="60" spans="1:3" x14ac:dyDescent="0.35">
      <c r="A60" s="6" t="s">
        <v>12</v>
      </c>
      <c r="B60" s="1">
        <v>1</v>
      </c>
      <c r="C60" s="1">
        <v>4</v>
      </c>
    </row>
    <row r="61" spans="1:3" x14ac:dyDescent="0.35">
      <c r="A61" s="6" t="s">
        <v>40</v>
      </c>
      <c r="B61" s="1">
        <v>1</v>
      </c>
      <c r="C61" s="1">
        <v>5</v>
      </c>
    </row>
    <row r="62" spans="1:3" x14ac:dyDescent="0.35">
      <c r="A62" s="6" t="s">
        <v>77</v>
      </c>
      <c r="B62" s="1">
        <v>1</v>
      </c>
      <c r="C62" s="1">
        <v>2.1</v>
      </c>
    </row>
    <row r="63" spans="1:3" x14ac:dyDescent="0.35">
      <c r="A63" s="6" t="s">
        <v>30</v>
      </c>
      <c r="B63" s="1">
        <v>1</v>
      </c>
      <c r="C63" s="1">
        <v>4.5999999999999996</v>
      </c>
    </row>
    <row r="64" spans="1:3" x14ac:dyDescent="0.35">
      <c r="A64" s="6" t="s">
        <v>35</v>
      </c>
      <c r="B64" s="1">
        <v>1</v>
      </c>
      <c r="C64" s="1">
        <v>4.3</v>
      </c>
    </row>
    <row r="65" spans="1:3" x14ac:dyDescent="0.35">
      <c r="A65" s="6" t="s">
        <v>28</v>
      </c>
      <c r="B65" s="1">
        <v>1</v>
      </c>
      <c r="C65" s="1">
        <v>4.4000000000000004</v>
      </c>
    </row>
    <row r="66" spans="1:3" x14ac:dyDescent="0.35">
      <c r="A66" s="6" t="s">
        <v>15</v>
      </c>
      <c r="B66" s="1">
        <v>1</v>
      </c>
      <c r="C66" s="1">
        <v>4.0999999999999996</v>
      </c>
    </row>
    <row r="67" spans="1:3" x14ac:dyDescent="0.35">
      <c r="A67" s="6" t="s">
        <v>86</v>
      </c>
      <c r="B67" s="1">
        <v>1</v>
      </c>
      <c r="C67" s="1">
        <v>4</v>
      </c>
    </row>
    <row r="68" spans="1:3" x14ac:dyDescent="0.35">
      <c r="A68" s="6" t="s">
        <v>67</v>
      </c>
      <c r="B68" s="1">
        <v>1</v>
      </c>
      <c r="C68" s="1">
        <v>2.7</v>
      </c>
    </row>
    <row r="69" spans="1:3" x14ac:dyDescent="0.35">
      <c r="A69" s="6" t="s">
        <v>103</v>
      </c>
      <c r="B69" s="1">
        <v>1</v>
      </c>
      <c r="C69" s="1">
        <v>5</v>
      </c>
    </row>
    <row r="70" spans="1:3" x14ac:dyDescent="0.35">
      <c r="A70" s="6" t="s">
        <v>73</v>
      </c>
      <c r="B70" s="1">
        <v>1</v>
      </c>
      <c r="C70" s="1">
        <v>3</v>
      </c>
    </row>
    <row r="71" spans="1:3" x14ac:dyDescent="0.35">
      <c r="A71" s="6" t="s">
        <v>29</v>
      </c>
      <c r="B71" s="1">
        <v>1</v>
      </c>
      <c r="C71" s="1">
        <v>4.3</v>
      </c>
    </row>
    <row r="72" spans="1:3" x14ac:dyDescent="0.35">
      <c r="A72" s="6" t="s">
        <v>22</v>
      </c>
      <c r="B72" s="1">
        <v>1</v>
      </c>
      <c r="C72" s="1">
        <v>5</v>
      </c>
    </row>
    <row r="73" spans="1:3" x14ac:dyDescent="0.35">
      <c r="A73" s="6" t="s">
        <v>18</v>
      </c>
      <c r="B73" s="1">
        <v>1</v>
      </c>
      <c r="C73" s="1">
        <v>4.5</v>
      </c>
    </row>
    <row r="74" spans="1:3" x14ac:dyDescent="0.35">
      <c r="A74" s="6" t="s">
        <v>13</v>
      </c>
      <c r="B74" s="1">
        <v>1</v>
      </c>
      <c r="C74" s="1">
        <v>4.8</v>
      </c>
    </row>
    <row r="75" spans="1:3" x14ac:dyDescent="0.35">
      <c r="A75" s="6" t="s">
        <v>44</v>
      </c>
      <c r="B75" s="1">
        <v>1</v>
      </c>
      <c r="C75" s="1" t="e">
        <v>#DIV/0!</v>
      </c>
    </row>
    <row r="76" spans="1:3" x14ac:dyDescent="0.35">
      <c r="A76" s="6" t="s">
        <v>37</v>
      </c>
      <c r="B76" s="1">
        <v>1</v>
      </c>
      <c r="C76" s="1">
        <v>4.3</v>
      </c>
    </row>
    <row r="77" spans="1:3" x14ac:dyDescent="0.35">
      <c r="A77" s="6" t="s">
        <v>27</v>
      </c>
      <c r="B77" s="1">
        <v>1</v>
      </c>
      <c r="C77" s="1">
        <v>4</v>
      </c>
    </row>
    <row r="78" spans="1:3" x14ac:dyDescent="0.35">
      <c r="A78" s="6" t="s">
        <v>107</v>
      </c>
      <c r="B78" s="1">
        <v>1</v>
      </c>
      <c r="C78" s="1" t="e">
        <v>#DIV/0!</v>
      </c>
    </row>
    <row r="79" spans="1:3" x14ac:dyDescent="0.35">
      <c r="A79" s="6" t="s">
        <v>23</v>
      </c>
      <c r="B79" s="1">
        <v>1</v>
      </c>
      <c r="C79" s="1">
        <v>4.5999999999999996</v>
      </c>
    </row>
    <row r="80" spans="1:3" x14ac:dyDescent="0.35">
      <c r="A80" s="6" t="s">
        <v>82</v>
      </c>
      <c r="B80" s="1">
        <v>1</v>
      </c>
      <c r="C80" s="1">
        <v>3</v>
      </c>
    </row>
    <row r="81" spans="1:3" x14ac:dyDescent="0.35">
      <c r="A81" s="6" t="s">
        <v>6</v>
      </c>
      <c r="B81" s="1">
        <v>1</v>
      </c>
      <c r="C81" s="1">
        <v>4.0999999999999996</v>
      </c>
    </row>
    <row r="82" spans="1:3" x14ac:dyDescent="0.35">
      <c r="A82" s="6" t="s">
        <v>100</v>
      </c>
      <c r="B82" s="1">
        <v>1</v>
      </c>
      <c r="C82" s="1" t="e">
        <v>#DIV/0!</v>
      </c>
    </row>
    <row r="83" spans="1:3" x14ac:dyDescent="0.35">
      <c r="A83" s="6" t="s">
        <v>46</v>
      </c>
      <c r="B83" s="1">
        <v>1</v>
      </c>
      <c r="C83" s="1" t="e">
        <v>#DIV/0!</v>
      </c>
    </row>
    <row r="84" spans="1:3" x14ac:dyDescent="0.35">
      <c r="A84" s="6" t="s">
        <v>19</v>
      </c>
      <c r="B84" s="1">
        <v>1</v>
      </c>
      <c r="C84" s="1">
        <v>4.2</v>
      </c>
    </row>
    <row r="85" spans="1:3" x14ac:dyDescent="0.35">
      <c r="A85" s="6" t="s">
        <v>91</v>
      </c>
      <c r="B85" s="1">
        <v>1</v>
      </c>
      <c r="C85" s="1" t="e">
        <v>#DIV/0!</v>
      </c>
    </row>
    <row r="86" spans="1:3" x14ac:dyDescent="0.35">
      <c r="A86" s="6" t="s">
        <v>34</v>
      </c>
      <c r="B86" s="1">
        <v>1</v>
      </c>
      <c r="C86" s="1" t="e">
        <v>#DIV/0!</v>
      </c>
    </row>
    <row r="87" spans="1:3" x14ac:dyDescent="0.35">
      <c r="A87" s="6" t="s">
        <v>57</v>
      </c>
      <c r="B87" s="1">
        <v>1</v>
      </c>
      <c r="C87" s="1" t="e">
        <v>#DIV/0!</v>
      </c>
    </row>
    <row r="88" spans="1:3" x14ac:dyDescent="0.35">
      <c r="A88" s="6" t="s">
        <v>64</v>
      </c>
      <c r="B88" s="1">
        <v>1</v>
      </c>
      <c r="C88" s="1">
        <v>3</v>
      </c>
    </row>
    <row r="89" spans="1:3" x14ac:dyDescent="0.35">
      <c r="A89" s="6" t="s">
        <v>87</v>
      </c>
      <c r="B89" s="1">
        <v>1</v>
      </c>
      <c r="C89" s="1" t="e">
        <v>#DIV/0!</v>
      </c>
    </row>
    <row r="90" spans="1:3" x14ac:dyDescent="0.35">
      <c r="A90" s="6" t="s">
        <v>89</v>
      </c>
      <c r="B90" s="1">
        <v>1</v>
      </c>
      <c r="C90" s="1" t="e">
        <v>#DIV/0!</v>
      </c>
    </row>
    <row r="91" spans="1:3" x14ac:dyDescent="0.35">
      <c r="A91" s="6" t="s">
        <v>21</v>
      </c>
      <c r="B91" s="1">
        <v>1</v>
      </c>
      <c r="C91" s="1">
        <v>5</v>
      </c>
    </row>
    <row r="92" spans="1:3" x14ac:dyDescent="0.35">
      <c r="A92" s="6" t="s">
        <v>55</v>
      </c>
      <c r="B92" s="1">
        <v>1</v>
      </c>
      <c r="C92" s="1" t="e">
        <v>#DIV/0!</v>
      </c>
    </row>
    <row r="93" spans="1:3" x14ac:dyDescent="0.35">
      <c r="A93" s="6" t="s">
        <v>56</v>
      </c>
      <c r="B93" s="1">
        <v>1</v>
      </c>
      <c r="C93" s="1" t="e">
        <v>#DIV/0!</v>
      </c>
    </row>
    <row r="94" spans="1:3" x14ac:dyDescent="0.35">
      <c r="A94" s="6" t="s">
        <v>9</v>
      </c>
      <c r="B94" s="1">
        <v>1</v>
      </c>
      <c r="C94" s="1">
        <v>4.8</v>
      </c>
    </row>
    <row r="95" spans="1:3" x14ac:dyDescent="0.35">
      <c r="A95" s="6" t="s">
        <v>7</v>
      </c>
      <c r="B95" s="1">
        <v>1</v>
      </c>
      <c r="C95" s="1">
        <v>4.5999999999999996</v>
      </c>
    </row>
    <row r="96" spans="1:3" x14ac:dyDescent="0.35">
      <c r="A96" s="6" t="s">
        <v>98</v>
      </c>
      <c r="B96" s="1">
        <v>1</v>
      </c>
      <c r="C96" s="1" t="e">
        <v>#DIV/0!</v>
      </c>
    </row>
    <row r="97" spans="1:3" x14ac:dyDescent="0.35">
      <c r="A97" s="6" t="s">
        <v>31</v>
      </c>
      <c r="B97" s="1">
        <v>1</v>
      </c>
      <c r="C97" s="1">
        <v>3.8</v>
      </c>
    </row>
    <row r="98" spans="1:3" x14ac:dyDescent="0.35">
      <c r="A98" s="6" t="s">
        <v>93</v>
      </c>
      <c r="B98" s="1">
        <v>1</v>
      </c>
      <c r="C98" s="1" t="e">
        <v>#DIV/0!</v>
      </c>
    </row>
    <row r="99" spans="1:3" x14ac:dyDescent="0.35">
      <c r="A99" s="6" t="s">
        <v>42</v>
      </c>
      <c r="B99" s="1">
        <v>1</v>
      </c>
      <c r="C99" s="1">
        <v>4.3</v>
      </c>
    </row>
    <row r="100" spans="1:3" x14ac:dyDescent="0.35">
      <c r="A100" s="6" t="s">
        <v>94</v>
      </c>
      <c r="B100" s="1">
        <v>1</v>
      </c>
      <c r="C100" s="1" t="e">
        <v>#DIV/0!</v>
      </c>
    </row>
    <row r="101" spans="1:3" x14ac:dyDescent="0.35">
      <c r="A101" s="6" t="s">
        <v>48</v>
      </c>
      <c r="B101" s="1">
        <v>1</v>
      </c>
      <c r="C101" s="1" t="e">
        <v>#DIV/0!</v>
      </c>
    </row>
    <row r="102" spans="1:3" x14ac:dyDescent="0.35">
      <c r="A102" s="6" t="s">
        <v>109</v>
      </c>
      <c r="B102" s="1">
        <v>1</v>
      </c>
      <c r="C102" s="1" t="e">
        <v>#DIV/0!</v>
      </c>
    </row>
    <row r="103" spans="1:3" x14ac:dyDescent="0.35">
      <c r="A103" s="6" t="s">
        <v>59</v>
      </c>
      <c r="B103" s="1">
        <v>1</v>
      </c>
      <c r="C103" s="1" t="e">
        <v>#DIV/0!</v>
      </c>
    </row>
    <row r="104" spans="1:3" x14ac:dyDescent="0.35">
      <c r="A104" s="6" t="s">
        <v>110</v>
      </c>
      <c r="B104" s="1">
        <v>1</v>
      </c>
      <c r="C104" s="1" t="e">
        <v>#DIV/0!</v>
      </c>
    </row>
    <row r="105" spans="1:3" x14ac:dyDescent="0.35">
      <c r="A105" s="6" t="s">
        <v>68</v>
      </c>
      <c r="B105" s="1">
        <v>1</v>
      </c>
      <c r="C105" s="1">
        <v>2.9</v>
      </c>
    </row>
    <row r="106" spans="1:3" x14ac:dyDescent="0.35">
      <c r="A106" s="6" t="s">
        <v>92</v>
      </c>
      <c r="B106" s="1">
        <v>1</v>
      </c>
      <c r="C106" s="1" t="e">
        <v>#DIV/0!</v>
      </c>
    </row>
    <row r="107" spans="1:3" x14ac:dyDescent="0.35">
      <c r="A107" s="6" t="s">
        <v>97</v>
      </c>
      <c r="B107" s="1">
        <v>1</v>
      </c>
      <c r="C107" s="1" t="e">
        <v>#DIV/0!</v>
      </c>
    </row>
    <row r="108" spans="1:3" x14ac:dyDescent="0.35">
      <c r="A108" s="6" t="s">
        <v>112</v>
      </c>
      <c r="B108" s="1">
        <v>1</v>
      </c>
      <c r="C108" s="1">
        <v>2</v>
      </c>
    </row>
    <row r="109" spans="1:3" x14ac:dyDescent="0.35">
      <c r="A109" s="6" t="s">
        <v>90</v>
      </c>
      <c r="B109" s="1">
        <v>1</v>
      </c>
      <c r="C109" s="1" t="e">
        <v>#DIV/0!</v>
      </c>
    </row>
    <row r="110" spans="1:3" x14ac:dyDescent="0.35">
      <c r="A110" s="6" t="s">
        <v>74</v>
      </c>
      <c r="B110" s="1">
        <v>1</v>
      </c>
      <c r="C110" s="1">
        <v>2.2999999999999998</v>
      </c>
    </row>
    <row r="111" spans="1:3" x14ac:dyDescent="0.35">
      <c r="A111" s="6" t="s">
        <v>8</v>
      </c>
      <c r="B111" s="1">
        <v>1</v>
      </c>
      <c r="C111" s="1">
        <v>4.7</v>
      </c>
    </row>
    <row r="112" spans="1:3" x14ac:dyDescent="0.35">
      <c r="A112" s="6" t="s">
        <v>75</v>
      </c>
      <c r="B112" s="1">
        <v>1</v>
      </c>
      <c r="C112" s="1">
        <v>3</v>
      </c>
    </row>
    <row r="113" spans="1:3" x14ac:dyDescent="0.35">
      <c r="A113" s="6" t="s">
        <v>123</v>
      </c>
      <c r="B113" s="1"/>
      <c r="C113" s="1">
        <v>2</v>
      </c>
    </row>
    <row r="114" spans="1:3" x14ac:dyDescent="0.35">
      <c r="A114" s="6" t="s">
        <v>124</v>
      </c>
      <c r="B114" s="1">
        <v>109</v>
      </c>
      <c r="C114" s="1">
        <v>3.8568965517241383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7863E-A1AC-44BA-AA74-49764778CAA4}">
  <dimension ref="A3:B4"/>
  <sheetViews>
    <sheetView workbookViewId="0">
      <selection activeCell="K1" sqref="K1"/>
    </sheetView>
  </sheetViews>
  <sheetFormatPr defaultRowHeight="14.5" x14ac:dyDescent="0.35"/>
  <cols>
    <col min="1" max="1" width="17.7265625" bestFit="1" customWidth="1"/>
    <col min="2" max="2" width="14.54296875" bestFit="1" customWidth="1"/>
  </cols>
  <sheetData>
    <row r="3" spans="1:2" x14ac:dyDescent="0.35">
      <c r="A3" t="s">
        <v>126</v>
      </c>
      <c r="B3" t="s">
        <v>144</v>
      </c>
    </row>
    <row r="4" spans="1:2" x14ac:dyDescent="0.35">
      <c r="A4" s="1">
        <v>0.36385321100917417</v>
      </c>
      <c r="B4" s="1">
        <v>109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9BB2C-1B0F-4919-89D2-6E8F765D7699}">
  <dimension ref="A1"/>
  <sheetViews>
    <sheetView tabSelected="1" topLeftCell="B1" workbookViewId="0">
      <selection activeCell="O10" sqref="O10"/>
    </sheetView>
  </sheetViews>
  <sheetFormatPr defaultRowHeight="14.5" x14ac:dyDescent="0.35"/>
  <cols>
    <col min="1" max="16384" width="8.726562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B1584-FE22-48B1-9518-91860B5A69FC}">
  <dimension ref="A1:I111"/>
  <sheetViews>
    <sheetView workbookViewId="0">
      <pane ySplit="1" topLeftCell="A110" activePane="bottomLeft" state="frozen"/>
      <selection pane="bottomLeft" sqref="A1:XFD1048576"/>
    </sheetView>
  </sheetViews>
  <sheetFormatPr defaultRowHeight="14.5" x14ac:dyDescent="0.35"/>
  <cols>
    <col min="1" max="1" width="67.81640625" style="1" customWidth="1"/>
    <col min="2" max="3" width="18.36328125" style="2" bestFit="1" customWidth="1"/>
    <col min="4" max="4" width="8.08984375" style="1" bestFit="1" customWidth="1"/>
    <col min="5" max="5" width="6.7265625" style="1" bestFit="1" customWidth="1"/>
    <col min="6" max="6" width="14.453125" style="1" customWidth="1"/>
    <col min="7" max="7" width="21.26953125" style="2" customWidth="1"/>
    <col min="8" max="8" width="16.7265625" style="1" customWidth="1"/>
    <col min="9" max="9" width="17.08984375" style="1" customWidth="1"/>
    <col min="10" max="16384" width="8.7265625" style="1"/>
  </cols>
  <sheetData>
    <row r="1" spans="1:9" x14ac:dyDescent="0.35">
      <c r="A1" s="1" t="s">
        <v>0</v>
      </c>
      <c r="B1" s="2" t="s">
        <v>1</v>
      </c>
      <c r="C1" s="2" t="s">
        <v>2</v>
      </c>
      <c r="D1" s="1" t="s">
        <v>3</v>
      </c>
      <c r="E1" s="1" t="s">
        <v>4</v>
      </c>
      <c r="F1" s="1" t="s">
        <v>115</v>
      </c>
      <c r="G1" s="2" t="s">
        <v>117</v>
      </c>
      <c r="H1" s="1" t="s">
        <v>118</v>
      </c>
      <c r="I1" s="1" t="s">
        <v>119</v>
      </c>
    </row>
    <row r="2" spans="1:9" x14ac:dyDescent="0.35">
      <c r="A2" s="1" t="s">
        <v>5</v>
      </c>
      <c r="B2" s="2">
        <v>950</v>
      </c>
      <c r="C2" s="2">
        <v>1525</v>
      </c>
      <c r="D2" s="1">
        <v>0.38</v>
      </c>
      <c r="E2" s="1">
        <v>2</v>
      </c>
      <c r="F2" s="1">
        <v>4.5</v>
      </c>
      <c r="G2" s="2" cm="1">
        <f t="array" ref="G2:G110">(C2:C110-B2:B110)</f>
        <v>575</v>
      </c>
      <c r="H2" s="1" t="str">
        <f>IF(F2="Not provided","N/A",IF(F2&lt;3,"Poor",IF(F2&lt;=4.4,"Average","Excellent")))</f>
        <v>Excellent</v>
      </c>
      <c r="I2" s="1" t="str">
        <f>IF(D2&lt;0.2,"low",IF(D2&lt;=0.4,"medium","high"))</f>
        <v>medium</v>
      </c>
    </row>
    <row r="3" spans="1:9" x14ac:dyDescent="0.35">
      <c r="A3" s="1" t="s">
        <v>6</v>
      </c>
      <c r="B3" s="2">
        <v>527</v>
      </c>
      <c r="C3" s="2">
        <v>999</v>
      </c>
      <c r="D3" s="1">
        <v>0.47</v>
      </c>
      <c r="E3" s="1">
        <v>14</v>
      </c>
      <c r="F3" s="1">
        <v>4.0999999999999996</v>
      </c>
      <c r="G3" s="2">
        <v>472</v>
      </c>
      <c r="H3" s="1" t="str">
        <f t="shared" ref="H3:H66" si="0">IF(F3="Not provided","N/A",IF(F3&lt;3,"Poor",IF(F3&lt;=4.4,"Average","Excellent")))</f>
        <v>Average</v>
      </c>
      <c r="I3" s="1" t="str">
        <f t="shared" ref="I3:I66" si="1">IF(D3&lt;0.2,"low",IF(D3&lt;=0.4,"medium","high"))</f>
        <v>high</v>
      </c>
    </row>
    <row r="4" spans="1:9" x14ac:dyDescent="0.35">
      <c r="A4" s="1" t="s">
        <v>7</v>
      </c>
      <c r="B4" s="2">
        <v>2199</v>
      </c>
      <c r="C4" s="2">
        <v>2923</v>
      </c>
      <c r="D4" s="1">
        <v>0.25</v>
      </c>
      <c r="E4" s="1">
        <v>24</v>
      </c>
      <c r="F4" s="1">
        <v>4.5999999999999996</v>
      </c>
      <c r="G4" s="2">
        <v>724</v>
      </c>
      <c r="H4" s="1" t="str">
        <f t="shared" si="0"/>
        <v>Excellent</v>
      </c>
      <c r="I4" s="1" t="str">
        <f t="shared" si="1"/>
        <v>medium</v>
      </c>
    </row>
    <row r="5" spans="1:9" x14ac:dyDescent="0.35">
      <c r="A5" s="1" t="s">
        <v>8</v>
      </c>
      <c r="B5" s="2">
        <v>1580</v>
      </c>
      <c r="C5" s="2">
        <v>2499</v>
      </c>
      <c r="D5" s="1">
        <v>0.37</v>
      </c>
      <c r="E5" s="1">
        <v>7</v>
      </c>
      <c r="F5" s="1">
        <v>4.7</v>
      </c>
      <c r="G5" s="2">
        <v>919</v>
      </c>
      <c r="H5" s="1" t="str">
        <f t="shared" si="0"/>
        <v>Excellent</v>
      </c>
      <c r="I5" s="1" t="str">
        <f t="shared" si="1"/>
        <v>medium</v>
      </c>
    </row>
    <row r="6" spans="1:9" x14ac:dyDescent="0.35">
      <c r="A6" s="1" t="s">
        <v>9</v>
      </c>
      <c r="B6" s="2">
        <v>1740</v>
      </c>
      <c r="C6" s="2">
        <v>2356</v>
      </c>
      <c r="D6" s="1">
        <v>0.26</v>
      </c>
      <c r="E6" s="1">
        <v>5</v>
      </c>
      <c r="F6" s="1">
        <v>4.8</v>
      </c>
      <c r="G6" s="2">
        <v>616</v>
      </c>
      <c r="H6" s="1" t="str">
        <f t="shared" si="0"/>
        <v>Excellent</v>
      </c>
      <c r="I6" s="1" t="str">
        <f t="shared" si="1"/>
        <v>medium</v>
      </c>
    </row>
    <row r="7" spans="1:9" x14ac:dyDescent="0.35">
      <c r="A7" s="1" t="s">
        <v>10</v>
      </c>
      <c r="B7" s="2">
        <v>2999</v>
      </c>
      <c r="C7" s="2">
        <v>3290</v>
      </c>
      <c r="D7" s="1">
        <v>0.09</v>
      </c>
      <c r="E7" s="1">
        <v>15</v>
      </c>
      <c r="F7" s="1">
        <v>4</v>
      </c>
      <c r="G7" s="2">
        <v>291</v>
      </c>
      <c r="H7" s="1" t="str">
        <f t="shared" si="0"/>
        <v>Average</v>
      </c>
      <c r="I7" s="1" t="str">
        <f t="shared" si="1"/>
        <v>low</v>
      </c>
    </row>
    <row r="8" spans="1:9" x14ac:dyDescent="0.35">
      <c r="A8" s="1" t="s">
        <v>11</v>
      </c>
      <c r="B8" s="2">
        <v>2319</v>
      </c>
      <c r="C8" s="2">
        <v>3032</v>
      </c>
      <c r="D8" s="1">
        <v>0.24</v>
      </c>
      <c r="E8" s="1">
        <v>55</v>
      </c>
      <c r="F8" s="1">
        <v>4.5999999999999996</v>
      </c>
      <c r="G8" s="2">
        <v>713</v>
      </c>
      <c r="H8" s="1" t="str">
        <f t="shared" si="0"/>
        <v>Excellent</v>
      </c>
      <c r="I8" s="1" t="str">
        <f t="shared" si="1"/>
        <v>medium</v>
      </c>
    </row>
    <row r="9" spans="1:9" x14ac:dyDescent="0.35">
      <c r="A9" s="1" t="s">
        <v>12</v>
      </c>
      <c r="B9" s="2">
        <v>988</v>
      </c>
      <c r="C9" s="2">
        <v>1580</v>
      </c>
      <c r="D9" s="1">
        <v>0.37</v>
      </c>
      <c r="E9" s="1">
        <v>2</v>
      </c>
      <c r="F9" s="1">
        <v>4</v>
      </c>
      <c r="G9" s="2">
        <v>592</v>
      </c>
      <c r="H9" s="1" t="str">
        <f t="shared" si="0"/>
        <v>Average</v>
      </c>
      <c r="I9" s="1" t="str">
        <f t="shared" si="1"/>
        <v>medium</v>
      </c>
    </row>
    <row r="10" spans="1:9" x14ac:dyDescent="0.35">
      <c r="A10" s="1" t="s">
        <v>13</v>
      </c>
      <c r="B10" s="2">
        <v>1274</v>
      </c>
      <c r="C10" s="2">
        <v>2800</v>
      </c>
      <c r="D10" s="1">
        <v>0.55000000000000004</v>
      </c>
      <c r="E10" s="1">
        <v>5</v>
      </c>
      <c r="F10" s="1">
        <v>4.8</v>
      </c>
      <c r="G10" s="2">
        <v>1526</v>
      </c>
      <c r="H10" s="1" t="str">
        <f t="shared" si="0"/>
        <v>Excellent</v>
      </c>
      <c r="I10" s="1" t="str">
        <f t="shared" si="1"/>
        <v>high</v>
      </c>
    </row>
    <row r="11" spans="1:9" x14ac:dyDescent="0.35">
      <c r="A11" s="1" t="s">
        <v>14</v>
      </c>
      <c r="B11" s="2">
        <v>1600</v>
      </c>
      <c r="C11" s="2">
        <v>2929</v>
      </c>
      <c r="D11" s="1">
        <v>0.45</v>
      </c>
      <c r="E11" s="1">
        <v>5</v>
      </c>
      <c r="F11" s="1">
        <v>3.8</v>
      </c>
      <c r="G11" s="2">
        <v>1329</v>
      </c>
      <c r="H11" s="1" t="str">
        <f t="shared" si="0"/>
        <v>Average</v>
      </c>
      <c r="I11" s="1" t="str">
        <f t="shared" si="1"/>
        <v>high</v>
      </c>
    </row>
    <row r="12" spans="1:9" x14ac:dyDescent="0.35">
      <c r="A12" s="1" t="s">
        <v>15</v>
      </c>
      <c r="B12" s="2">
        <v>799</v>
      </c>
      <c r="C12" s="2">
        <v>999</v>
      </c>
      <c r="D12" s="1">
        <v>0.2</v>
      </c>
      <c r="E12" s="1">
        <v>12</v>
      </c>
      <c r="F12" s="1">
        <v>4.0999999999999996</v>
      </c>
      <c r="G12" s="2">
        <v>200</v>
      </c>
      <c r="H12" s="1" t="str">
        <f t="shared" si="0"/>
        <v>Average</v>
      </c>
      <c r="I12" s="1" t="str">
        <f t="shared" si="1"/>
        <v>medium</v>
      </c>
    </row>
    <row r="13" spans="1:9" x14ac:dyDescent="0.35">
      <c r="A13" s="1" t="s">
        <v>16</v>
      </c>
      <c r="B13" s="2">
        <v>990</v>
      </c>
      <c r="C13" s="2">
        <v>1500</v>
      </c>
      <c r="D13" s="1">
        <v>0.34</v>
      </c>
      <c r="E13" s="1">
        <v>39</v>
      </c>
      <c r="F13" s="1">
        <v>4.7</v>
      </c>
      <c r="G13" s="2">
        <v>510</v>
      </c>
      <c r="H13" s="1" t="str">
        <f t="shared" si="0"/>
        <v>Excellent</v>
      </c>
      <c r="I13" s="1" t="str">
        <f t="shared" si="1"/>
        <v>medium</v>
      </c>
    </row>
    <row r="14" spans="1:9" x14ac:dyDescent="0.35">
      <c r="A14" s="1" t="s">
        <v>17</v>
      </c>
      <c r="B14" s="2">
        <v>552</v>
      </c>
      <c r="C14" s="2">
        <v>1035</v>
      </c>
      <c r="D14" s="1">
        <v>0.47</v>
      </c>
      <c r="E14" s="1">
        <v>12</v>
      </c>
      <c r="F14" s="1">
        <v>4.8</v>
      </c>
      <c r="G14" s="2">
        <v>483</v>
      </c>
      <c r="H14" s="1" t="str">
        <f t="shared" si="0"/>
        <v>Excellent</v>
      </c>
      <c r="I14" s="1" t="str">
        <f t="shared" si="1"/>
        <v>high</v>
      </c>
    </row>
    <row r="15" spans="1:9" x14ac:dyDescent="0.35">
      <c r="A15" s="1" t="s">
        <v>18</v>
      </c>
      <c r="B15" s="2">
        <v>501</v>
      </c>
      <c r="C15" s="2">
        <v>860</v>
      </c>
      <c r="D15" s="1">
        <v>0.42</v>
      </c>
      <c r="E15" s="1">
        <v>6</v>
      </c>
      <c r="F15" s="1">
        <v>4.5</v>
      </c>
      <c r="G15" s="2">
        <v>359</v>
      </c>
      <c r="H15" s="1" t="str">
        <f t="shared" si="0"/>
        <v>Excellent</v>
      </c>
      <c r="I15" s="1" t="str">
        <f t="shared" si="1"/>
        <v>high</v>
      </c>
    </row>
    <row r="16" spans="1:9" x14ac:dyDescent="0.35">
      <c r="A16" s="1" t="s">
        <v>19</v>
      </c>
      <c r="B16" s="2">
        <v>1680</v>
      </c>
      <c r="C16" s="2">
        <v>2499</v>
      </c>
      <c r="D16" s="1">
        <v>0.33</v>
      </c>
      <c r="E16" s="1">
        <v>9</v>
      </c>
      <c r="F16" s="1">
        <v>4.2</v>
      </c>
      <c r="G16" s="2">
        <v>819</v>
      </c>
      <c r="H16" s="1" t="str">
        <f t="shared" si="0"/>
        <v>Average</v>
      </c>
      <c r="I16" s="1" t="str">
        <f t="shared" si="1"/>
        <v>medium</v>
      </c>
    </row>
    <row r="17" spans="1:9" x14ac:dyDescent="0.35">
      <c r="A17" s="1" t="s">
        <v>20</v>
      </c>
      <c r="B17" s="2">
        <v>332</v>
      </c>
      <c r="C17" s="2">
        <v>684</v>
      </c>
      <c r="D17" s="1">
        <v>0.51</v>
      </c>
      <c r="E17" s="1">
        <v>2</v>
      </c>
      <c r="F17" s="1">
        <v>5</v>
      </c>
      <c r="G17" s="2">
        <v>352</v>
      </c>
      <c r="H17" s="1" t="str">
        <f t="shared" si="0"/>
        <v>Excellent</v>
      </c>
      <c r="I17" s="1" t="str">
        <f t="shared" si="1"/>
        <v>high</v>
      </c>
    </row>
    <row r="18" spans="1:9" x14ac:dyDescent="0.35">
      <c r="A18" s="1" t="s">
        <v>21</v>
      </c>
      <c r="B18" s="2">
        <v>195</v>
      </c>
      <c r="C18" s="2">
        <v>360</v>
      </c>
      <c r="D18" s="1">
        <v>0.46</v>
      </c>
      <c r="E18" s="1">
        <v>2</v>
      </c>
      <c r="F18" s="1">
        <v>5</v>
      </c>
      <c r="G18" s="2">
        <v>165</v>
      </c>
      <c r="H18" s="1" t="str">
        <f t="shared" si="0"/>
        <v>Excellent</v>
      </c>
      <c r="I18" s="1" t="str">
        <f t="shared" si="1"/>
        <v>high</v>
      </c>
    </row>
    <row r="19" spans="1:9" x14ac:dyDescent="0.35">
      <c r="A19" s="1" t="s">
        <v>22</v>
      </c>
      <c r="B19" s="2">
        <v>2025</v>
      </c>
      <c r="C19" s="2">
        <v>3971</v>
      </c>
      <c r="D19" s="1">
        <v>0.49</v>
      </c>
      <c r="E19" s="1">
        <v>3</v>
      </c>
      <c r="F19" s="1">
        <v>5</v>
      </c>
      <c r="G19" s="2">
        <v>1946</v>
      </c>
      <c r="H19" s="1" t="str">
        <f t="shared" si="0"/>
        <v>Excellent</v>
      </c>
      <c r="I19" s="1" t="str">
        <f t="shared" si="1"/>
        <v>high</v>
      </c>
    </row>
    <row r="20" spans="1:9" x14ac:dyDescent="0.35">
      <c r="A20" s="1" t="s">
        <v>23</v>
      </c>
      <c r="B20" s="2">
        <v>2999</v>
      </c>
      <c r="C20" s="2">
        <v>3699</v>
      </c>
      <c r="D20" s="1">
        <v>0.19</v>
      </c>
      <c r="E20" s="1">
        <v>5</v>
      </c>
      <c r="F20" s="1">
        <v>4.5999999999999996</v>
      </c>
      <c r="G20" s="2">
        <v>700</v>
      </c>
      <c r="H20" s="1" t="str">
        <f t="shared" si="0"/>
        <v>Excellent</v>
      </c>
      <c r="I20" s="1" t="str">
        <f t="shared" si="1"/>
        <v>low</v>
      </c>
    </row>
    <row r="21" spans="1:9" x14ac:dyDescent="0.35">
      <c r="A21" s="1" t="s">
        <v>24</v>
      </c>
      <c r="B21" s="2">
        <v>998</v>
      </c>
      <c r="C21" s="2">
        <v>1966</v>
      </c>
      <c r="D21" s="1">
        <v>0.49</v>
      </c>
      <c r="E21" s="1">
        <v>44</v>
      </c>
      <c r="F21" s="1">
        <v>4.5999999999999996</v>
      </c>
      <c r="G21" s="2">
        <v>968</v>
      </c>
      <c r="H21" s="1" t="str">
        <f t="shared" si="0"/>
        <v>Excellent</v>
      </c>
      <c r="I21" s="1" t="str">
        <f t="shared" si="1"/>
        <v>high</v>
      </c>
    </row>
    <row r="22" spans="1:9" x14ac:dyDescent="0.35">
      <c r="A22" s="1" t="s">
        <v>25</v>
      </c>
      <c r="B22" s="2">
        <v>38</v>
      </c>
      <c r="C22" s="2">
        <v>80</v>
      </c>
      <c r="D22" s="1">
        <v>0.53</v>
      </c>
      <c r="E22" s="1">
        <v>13</v>
      </c>
      <c r="F22" s="1">
        <v>3.3</v>
      </c>
      <c r="G22" s="2">
        <v>42</v>
      </c>
      <c r="H22" s="1" t="str">
        <f t="shared" si="0"/>
        <v>Average</v>
      </c>
      <c r="I22" s="1" t="str">
        <f t="shared" si="1"/>
        <v>high</v>
      </c>
    </row>
    <row r="23" spans="1:9" x14ac:dyDescent="0.35">
      <c r="A23" s="1" t="s">
        <v>26</v>
      </c>
      <c r="B23" s="2">
        <v>1860</v>
      </c>
      <c r="C23" s="2">
        <v>3220</v>
      </c>
      <c r="D23" s="1">
        <v>0.42</v>
      </c>
      <c r="E23" s="1">
        <v>0</v>
      </c>
      <c r="F23" s="1" t="s">
        <v>116</v>
      </c>
      <c r="G23" s="2">
        <v>1360</v>
      </c>
      <c r="H23" s="1" t="str">
        <f t="shared" si="0"/>
        <v>N/A</v>
      </c>
      <c r="I23" s="1" t="str">
        <f t="shared" si="1"/>
        <v>high</v>
      </c>
    </row>
    <row r="24" spans="1:9" x14ac:dyDescent="0.35">
      <c r="A24" s="1" t="s">
        <v>27</v>
      </c>
      <c r="B24" s="2">
        <v>880</v>
      </c>
      <c r="C24" s="2">
        <v>1350</v>
      </c>
      <c r="D24" s="1">
        <v>0.35</v>
      </c>
      <c r="E24" s="1">
        <v>6</v>
      </c>
      <c r="F24" s="1">
        <v>4</v>
      </c>
      <c r="G24" s="2">
        <v>470</v>
      </c>
      <c r="H24" s="1" t="str">
        <f t="shared" si="0"/>
        <v>Average</v>
      </c>
      <c r="I24" s="1" t="str">
        <f t="shared" si="1"/>
        <v>medium</v>
      </c>
    </row>
    <row r="25" spans="1:9" x14ac:dyDescent="0.35">
      <c r="A25" s="1" t="s">
        <v>28</v>
      </c>
      <c r="B25" s="2">
        <v>1650</v>
      </c>
      <c r="C25" s="2">
        <v>2150</v>
      </c>
      <c r="D25" s="1">
        <v>0.23</v>
      </c>
      <c r="E25" s="1">
        <v>14</v>
      </c>
      <c r="F25" s="1">
        <v>4.4000000000000004</v>
      </c>
      <c r="G25" s="2">
        <v>500</v>
      </c>
      <c r="H25" s="1" t="str">
        <f t="shared" si="0"/>
        <v>Average</v>
      </c>
      <c r="I25" s="1" t="str">
        <f t="shared" si="1"/>
        <v>medium</v>
      </c>
    </row>
    <row r="26" spans="1:9" x14ac:dyDescent="0.35">
      <c r="A26" s="1" t="s">
        <v>29</v>
      </c>
      <c r="B26" s="2">
        <v>2048</v>
      </c>
      <c r="C26" s="2">
        <v>4500</v>
      </c>
      <c r="D26" s="1">
        <v>0.54</v>
      </c>
      <c r="E26" s="1">
        <v>7</v>
      </c>
      <c r="F26" s="1">
        <v>4.3</v>
      </c>
      <c r="G26" s="2">
        <v>2452</v>
      </c>
      <c r="H26" s="1" t="str">
        <f t="shared" si="0"/>
        <v>Average</v>
      </c>
      <c r="I26" s="1" t="str">
        <f t="shared" si="1"/>
        <v>high</v>
      </c>
    </row>
    <row r="27" spans="1:9" x14ac:dyDescent="0.35">
      <c r="A27" s="1" t="s">
        <v>30</v>
      </c>
      <c r="B27" s="2">
        <v>420</v>
      </c>
      <c r="C27" s="2">
        <v>647</v>
      </c>
      <c r="D27" s="1">
        <v>0.35</v>
      </c>
      <c r="E27" s="1">
        <v>49</v>
      </c>
      <c r="F27" s="1">
        <v>4.5999999999999996</v>
      </c>
      <c r="G27" s="2">
        <v>227</v>
      </c>
      <c r="H27" s="1" t="str">
        <f t="shared" si="0"/>
        <v>Excellent</v>
      </c>
      <c r="I27" s="1" t="str">
        <f t="shared" si="1"/>
        <v>medium</v>
      </c>
    </row>
    <row r="28" spans="1:9" x14ac:dyDescent="0.35">
      <c r="A28" s="1" t="s">
        <v>31</v>
      </c>
      <c r="B28" s="2">
        <v>2880</v>
      </c>
      <c r="C28" s="2">
        <v>3520</v>
      </c>
      <c r="D28" s="1">
        <v>0.18</v>
      </c>
      <c r="E28" s="1">
        <v>12</v>
      </c>
      <c r="F28" s="1">
        <v>3.8</v>
      </c>
      <c r="G28" s="2">
        <v>640</v>
      </c>
      <c r="H28" s="1" t="str">
        <f t="shared" si="0"/>
        <v>Average</v>
      </c>
      <c r="I28" s="1" t="str">
        <f t="shared" si="1"/>
        <v>low</v>
      </c>
    </row>
    <row r="29" spans="1:9" x14ac:dyDescent="0.35">
      <c r="A29" s="1" t="s">
        <v>32</v>
      </c>
      <c r="B29" s="2">
        <v>1350</v>
      </c>
      <c r="C29" s="2">
        <v>1990</v>
      </c>
      <c r="D29" s="1">
        <v>0.32</v>
      </c>
      <c r="E29" s="1">
        <v>13</v>
      </c>
      <c r="F29" s="1">
        <v>3.8</v>
      </c>
      <c r="G29" s="2">
        <v>640</v>
      </c>
      <c r="H29" s="1" t="str">
        <f t="shared" si="0"/>
        <v>Average</v>
      </c>
      <c r="I29" s="1" t="str">
        <f t="shared" si="1"/>
        <v>medium</v>
      </c>
    </row>
    <row r="30" spans="1:9" x14ac:dyDescent="0.35">
      <c r="A30" s="1" t="s">
        <v>33</v>
      </c>
      <c r="B30" s="2">
        <v>1758</v>
      </c>
      <c r="C30" s="2">
        <v>2499</v>
      </c>
      <c r="D30" s="1">
        <v>0.3</v>
      </c>
      <c r="E30" s="1">
        <v>20</v>
      </c>
      <c r="F30" s="1">
        <v>4.0999999999999996</v>
      </c>
      <c r="G30" s="2">
        <v>741</v>
      </c>
      <c r="H30" s="1" t="str">
        <f t="shared" si="0"/>
        <v>Average</v>
      </c>
      <c r="I30" s="1" t="str">
        <f t="shared" si="1"/>
        <v>medium</v>
      </c>
    </row>
    <row r="31" spans="1:9" x14ac:dyDescent="0.35">
      <c r="A31" s="1" t="s">
        <v>34</v>
      </c>
      <c r="B31" s="2">
        <v>2200</v>
      </c>
      <c r="C31" s="2">
        <v>4080</v>
      </c>
      <c r="D31" s="1">
        <v>0.46</v>
      </c>
      <c r="E31" s="1">
        <v>0</v>
      </c>
      <c r="F31" s="1" t="s">
        <v>116</v>
      </c>
      <c r="G31" s="2">
        <v>1880</v>
      </c>
      <c r="H31" s="1" t="str">
        <f t="shared" si="0"/>
        <v>N/A</v>
      </c>
      <c r="I31" s="1" t="str">
        <f t="shared" si="1"/>
        <v>high</v>
      </c>
    </row>
    <row r="32" spans="1:9" x14ac:dyDescent="0.35">
      <c r="A32" s="1" t="s">
        <v>35</v>
      </c>
      <c r="B32" s="2">
        <v>185</v>
      </c>
      <c r="C32" s="2">
        <v>382</v>
      </c>
      <c r="D32" s="1">
        <v>0.52</v>
      </c>
      <c r="E32" s="1">
        <v>9</v>
      </c>
      <c r="F32" s="1">
        <v>4.3</v>
      </c>
      <c r="G32" s="2">
        <v>197</v>
      </c>
      <c r="H32" s="1" t="str">
        <f t="shared" si="0"/>
        <v>Average</v>
      </c>
      <c r="I32" s="1" t="str">
        <f t="shared" si="1"/>
        <v>high</v>
      </c>
    </row>
    <row r="33" spans="1:9" x14ac:dyDescent="0.35">
      <c r="A33" s="1" t="s">
        <v>36</v>
      </c>
      <c r="B33" s="2">
        <v>980</v>
      </c>
      <c r="C33" s="2">
        <v>1490</v>
      </c>
      <c r="D33" s="1">
        <v>0.34</v>
      </c>
      <c r="E33" s="1">
        <v>12</v>
      </c>
      <c r="F33" s="1">
        <v>4.7</v>
      </c>
      <c r="G33" s="2">
        <v>510</v>
      </c>
      <c r="H33" s="1" t="str">
        <f t="shared" si="0"/>
        <v>Excellent</v>
      </c>
      <c r="I33" s="1" t="str">
        <f t="shared" si="1"/>
        <v>medium</v>
      </c>
    </row>
    <row r="34" spans="1:9" x14ac:dyDescent="0.35">
      <c r="A34" s="1" t="s">
        <v>37</v>
      </c>
      <c r="B34" s="2">
        <v>1820</v>
      </c>
      <c r="C34" s="2">
        <v>3490</v>
      </c>
      <c r="D34" s="1">
        <v>0.48</v>
      </c>
      <c r="E34" s="1">
        <v>9</v>
      </c>
      <c r="F34" s="1">
        <v>4.3</v>
      </c>
      <c r="G34" s="2">
        <v>1670</v>
      </c>
      <c r="H34" s="1" t="str">
        <f t="shared" si="0"/>
        <v>Average</v>
      </c>
      <c r="I34" s="1" t="str">
        <f t="shared" si="1"/>
        <v>high</v>
      </c>
    </row>
    <row r="35" spans="1:9" x14ac:dyDescent="0.35">
      <c r="A35" s="1" t="s">
        <v>38</v>
      </c>
      <c r="B35" s="2">
        <v>1940</v>
      </c>
      <c r="C35" s="2">
        <v>2650</v>
      </c>
      <c r="D35" s="1">
        <v>0.27</v>
      </c>
      <c r="E35" s="1">
        <v>20</v>
      </c>
      <c r="F35" s="1">
        <v>4.7</v>
      </c>
      <c r="G35" s="2">
        <v>710</v>
      </c>
      <c r="H35" s="1" t="str">
        <f t="shared" si="0"/>
        <v>Excellent</v>
      </c>
      <c r="I35" s="1" t="str">
        <f t="shared" si="1"/>
        <v>medium</v>
      </c>
    </row>
    <row r="36" spans="1:9" x14ac:dyDescent="0.35">
      <c r="A36" s="1" t="s">
        <v>39</v>
      </c>
      <c r="B36" s="2">
        <v>1980</v>
      </c>
      <c r="C36" s="2">
        <v>2699</v>
      </c>
      <c r="D36" s="1">
        <v>0.27</v>
      </c>
      <c r="E36" s="1">
        <v>32</v>
      </c>
      <c r="F36" s="1">
        <v>4.5</v>
      </c>
      <c r="G36" s="2">
        <v>719</v>
      </c>
      <c r="H36" s="1" t="str">
        <f t="shared" si="0"/>
        <v>Excellent</v>
      </c>
      <c r="I36" s="1" t="str">
        <f t="shared" si="1"/>
        <v>medium</v>
      </c>
    </row>
    <row r="37" spans="1:9" x14ac:dyDescent="0.35">
      <c r="A37" s="1" t="s">
        <v>40</v>
      </c>
      <c r="B37" s="2">
        <v>1620</v>
      </c>
      <c r="C37" s="2">
        <v>2690</v>
      </c>
      <c r="D37" s="1">
        <v>0.4</v>
      </c>
      <c r="E37" s="1">
        <v>1</v>
      </c>
      <c r="F37" s="1">
        <v>5</v>
      </c>
      <c r="G37" s="2">
        <v>1070</v>
      </c>
      <c r="H37" s="1" t="str">
        <f t="shared" si="0"/>
        <v>Excellent</v>
      </c>
      <c r="I37" s="1" t="str">
        <f t="shared" si="1"/>
        <v>medium</v>
      </c>
    </row>
    <row r="38" spans="1:9" x14ac:dyDescent="0.35">
      <c r="A38" s="1" t="s">
        <v>41</v>
      </c>
      <c r="B38" s="2">
        <v>171</v>
      </c>
      <c r="C38" s="2">
        <v>360</v>
      </c>
      <c r="D38" s="1">
        <v>0.53</v>
      </c>
      <c r="E38" s="1">
        <v>2</v>
      </c>
      <c r="F38" s="1">
        <v>5</v>
      </c>
      <c r="G38" s="2">
        <v>189</v>
      </c>
      <c r="H38" s="1" t="str">
        <f t="shared" si="0"/>
        <v>Excellent</v>
      </c>
      <c r="I38" s="1" t="str">
        <f t="shared" si="1"/>
        <v>high</v>
      </c>
    </row>
    <row r="39" spans="1:9" x14ac:dyDescent="0.35">
      <c r="A39" s="1" t="s">
        <v>42</v>
      </c>
      <c r="B39" s="2">
        <v>389</v>
      </c>
      <c r="C39" s="2">
        <v>656</v>
      </c>
      <c r="D39" s="1">
        <v>0.41</v>
      </c>
      <c r="E39" s="1">
        <v>36</v>
      </c>
      <c r="F39" s="1">
        <v>4.3</v>
      </c>
      <c r="G39" s="2">
        <v>267</v>
      </c>
      <c r="H39" s="1" t="str">
        <f t="shared" si="0"/>
        <v>Average</v>
      </c>
      <c r="I39" s="1" t="str">
        <f t="shared" si="1"/>
        <v>high</v>
      </c>
    </row>
    <row r="40" spans="1:9" x14ac:dyDescent="0.35">
      <c r="A40" s="1" t="s">
        <v>43</v>
      </c>
      <c r="B40" s="2">
        <v>1800</v>
      </c>
      <c r="C40" s="2">
        <v>2700</v>
      </c>
      <c r="D40" s="1">
        <v>0.38</v>
      </c>
      <c r="E40" s="1">
        <v>2</v>
      </c>
      <c r="F40" s="1">
        <v>4.5</v>
      </c>
      <c r="G40" s="2">
        <v>900</v>
      </c>
      <c r="H40" s="1" t="str">
        <f t="shared" si="0"/>
        <v>Excellent</v>
      </c>
      <c r="I40" s="1" t="str">
        <f t="shared" si="1"/>
        <v>medium</v>
      </c>
    </row>
    <row r="41" spans="1:9" x14ac:dyDescent="0.35">
      <c r="A41" s="1" t="s">
        <v>44</v>
      </c>
      <c r="B41" s="2">
        <v>2750</v>
      </c>
      <c r="C41" s="2">
        <v>4471</v>
      </c>
      <c r="D41" s="1">
        <v>0.38</v>
      </c>
      <c r="E41" s="1">
        <v>0</v>
      </c>
      <c r="F41" s="1" t="s">
        <v>116</v>
      </c>
      <c r="G41" s="2">
        <v>1721</v>
      </c>
      <c r="H41" s="1" t="str">
        <f t="shared" si="0"/>
        <v>N/A</v>
      </c>
      <c r="I41" s="1" t="str">
        <f t="shared" si="1"/>
        <v>medium</v>
      </c>
    </row>
    <row r="42" spans="1:9" x14ac:dyDescent="0.35">
      <c r="A42" s="1" t="s">
        <v>45</v>
      </c>
      <c r="B42" s="2">
        <v>475</v>
      </c>
      <c r="C42" s="2">
        <v>931</v>
      </c>
      <c r="D42" s="1">
        <v>0.49</v>
      </c>
      <c r="E42" s="1">
        <v>0</v>
      </c>
      <c r="F42" s="1" t="s">
        <v>116</v>
      </c>
      <c r="G42" s="2">
        <v>456</v>
      </c>
      <c r="H42" s="1" t="str">
        <f t="shared" si="0"/>
        <v>N/A</v>
      </c>
      <c r="I42" s="1" t="str">
        <f t="shared" si="1"/>
        <v>high</v>
      </c>
    </row>
    <row r="43" spans="1:9" x14ac:dyDescent="0.35">
      <c r="A43" s="1" t="s">
        <v>46</v>
      </c>
      <c r="B43" s="2">
        <v>238</v>
      </c>
      <c r="C43" s="2">
        <v>476</v>
      </c>
      <c r="D43" s="1">
        <v>0.5</v>
      </c>
      <c r="E43" s="1">
        <v>0</v>
      </c>
      <c r="F43" s="1" t="s">
        <v>116</v>
      </c>
      <c r="G43" s="2">
        <v>238</v>
      </c>
      <c r="H43" s="1" t="str">
        <f t="shared" si="0"/>
        <v>N/A</v>
      </c>
      <c r="I43" s="1" t="str">
        <f t="shared" si="1"/>
        <v>high</v>
      </c>
    </row>
    <row r="44" spans="1:9" x14ac:dyDescent="0.35">
      <c r="A44" s="1" t="s">
        <v>47</v>
      </c>
      <c r="B44" s="2">
        <v>610</v>
      </c>
      <c r="C44" s="2">
        <v>1060</v>
      </c>
      <c r="D44" s="1">
        <v>0.42</v>
      </c>
      <c r="E44" s="1">
        <v>0</v>
      </c>
      <c r="F44" s="1" t="s">
        <v>116</v>
      </c>
      <c r="G44" s="2">
        <v>450</v>
      </c>
      <c r="H44" s="1" t="str">
        <f t="shared" si="0"/>
        <v>N/A</v>
      </c>
      <c r="I44" s="1" t="str">
        <f t="shared" si="1"/>
        <v>high</v>
      </c>
    </row>
    <row r="45" spans="1:9" x14ac:dyDescent="0.35">
      <c r="A45" s="1" t="s">
        <v>48</v>
      </c>
      <c r="B45" s="2">
        <v>2132</v>
      </c>
      <c r="C45" s="2">
        <v>2169</v>
      </c>
      <c r="D45" s="1">
        <v>0.02</v>
      </c>
      <c r="E45" s="1">
        <v>0</v>
      </c>
      <c r="F45" s="1" t="s">
        <v>116</v>
      </c>
      <c r="G45" s="2">
        <v>37</v>
      </c>
      <c r="H45" s="1" t="str">
        <f t="shared" si="0"/>
        <v>N/A</v>
      </c>
      <c r="I45" s="1" t="str">
        <f t="shared" si="1"/>
        <v>low</v>
      </c>
    </row>
    <row r="46" spans="1:9" x14ac:dyDescent="0.35">
      <c r="A46" s="1" t="s">
        <v>49</v>
      </c>
      <c r="B46" s="2">
        <v>999</v>
      </c>
      <c r="C46" s="2">
        <v>2000</v>
      </c>
      <c r="D46" s="1">
        <v>0.5</v>
      </c>
      <c r="E46" s="1">
        <v>0</v>
      </c>
      <c r="F46" s="1" t="s">
        <v>116</v>
      </c>
      <c r="G46" s="2">
        <v>1001</v>
      </c>
      <c r="H46" s="1" t="str">
        <f t="shared" si="0"/>
        <v>N/A</v>
      </c>
      <c r="I46" s="1" t="str">
        <f t="shared" si="1"/>
        <v>high</v>
      </c>
    </row>
    <row r="47" spans="1:9" x14ac:dyDescent="0.35">
      <c r="A47" s="1" t="s">
        <v>50</v>
      </c>
      <c r="B47" s="2">
        <v>1190</v>
      </c>
      <c r="C47" s="2">
        <v>1785</v>
      </c>
      <c r="D47" s="1">
        <v>0.33</v>
      </c>
      <c r="E47" s="1">
        <v>0</v>
      </c>
      <c r="F47" s="1" t="s">
        <v>116</v>
      </c>
      <c r="G47" s="2">
        <v>595</v>
      </c>
      <c r="H47" s="1" t="str">
        <f t="shared" si="0"/>
        <v>N/A</v>
      </c>
      <c r="I47" s="1" t="str">
        <f t="shared" si="1"/>
        <v>medium</v>
      </c>
    </row>
    <row r="48" spans="1:9" x14ac:dyDescent="0.35">
      <c r="A48" s="1" t="s">
        <v>51</v>
      </c>
      <c r="B48" s="2">
        <v>671</v>
      </c>
      <c r="C48" s="2">
        <v>1316</v>
      </c>
      <c r="D48" s="1">
        <v>0.49</v>
      </c>
      <c r="E48" s="1">
        <v>0</v>
      </c>
      <c r="F48" s="1" t="s">
        <v>116</v>
      </c>
      <c r="G48" s="2">
        <v>645</v>
      </c>
      <c r="H48" s="1" t="str">
        <f t="shared" si="0"/>
        <v>N/A</v>
      </c>
      <c r="I48" s="1" t="str">
        <f t="shared" si="1"/>
        <v>high</v>
      </c>
    </row>
    <row r="49" spans="1:9" x14ac:dyDescent="0.35">
      <c r="A49" s="1" t="s">
        <v>52</v>
      </c>
      <c r="B49" s="2">
        <v>1200</v>
      </c>
      <c r="C49" s="2">
        <v>1950</v>
      </c>
      <c r="D49" s="1">
        <v>0.38</v>
      </c>
      <c r="E49" s="1">
        <v>0</v>
      </c>
      <c r="F49" s="1" t="s">
        <v>116</v>
      </c>
      <c r="G49" s="2">
        <v>750</v>
      </c>
      <c r="H49" s="1" t="str">
        <f t="shared" si="0"/>
        <v>N/A</v>
      </c>
      <c r="I49" s="1" t="str">
        <f t="shared" si="1"/>
        <v>medium</v>
      </c>
    </row>
    <row r="50" spans="1:9" x14ac:dyDescent="0.35">
      <c r="A50" s="1" t="s">
        <v>53</v>
      </c>
      <c r="B50" s="2">
        <v>199</v>
      </c>
      <c r="C50" s="2">
        <v>504</v>
      </c>
      <c r="D50" s="1">
        <v>0.61</v>
      </c>
      <c r="E50" s="1">
        <v>0</v>
      </c>
      <c r="F50" s="1" t="s">
        <v>116</v>
      </c>
      <c r="G50" s="2">
        <v>305</v>
      </c>
      <c r="H50" s="1" t="str">
        <f t="shared" si="0"/>
        <v>N/A</v>
      </c>
      <c r="I50" s="1" t="str">
        <f t="shared" si="1"/>
        <v>high</v>
      </c>
    </row>
    <row r="51" spans="1:9" x14ac:dyDescent="0.35">
      <c r="A51" s="1" t="s">
        <v>54</v>
      </c>
      <c r="B51" s="2">
        <v>299</v>
      </c>
      <c r="C51" s="2">
        <v>600</v>
      </c>
      <c r="D51" s="1">
        <v>0.5</v>
      </c>
      <c r="E51" s="1">
        <v>0</v>
      </c>
      <c r="F51" s="1" t="s">
        <v>116</v>
      </c>
      <c r="G51" s="2">
        <v>301</v>
      </c>
      <c r="H51" s="1" t="str">
        <f t="shared" si="0"/>
        <v>N/A</v>
      </c>
      <c r="I51" s="1" t="str">
        <f t="shared" si="1"/>
        <v>high</v>
      </c>
    </row>
    <row r="52" spans="1:9" x14ac:dyDescent="0.35">
      <c r="A52" s="1" t="s">
        <v>55</v>
      </c>
      <c r="B52" s="2">
        <v>1660</v>
      </c>
      <c r="C52" s="2">
        <v>1699</v>
      </c>
      <c r="D52" s="1">
        <v>0.02</v>
      </c>
      <c r="E52" s="1">
        <v>0</v>
      </c>
      <c r="F52" s="1" t="s">
        <v>116</v>
      </c>
      <c r="G52" s="2">
        <v>39</v>
      </c>
      <c r="H52" s="1" t="str">
        <f t="shared" si="0"/>
        <v>N/A</v>
      </c>
      <c r="I52" s="1" t="str">
        <f t="shared" si="1"/>
        <v>low</v>
      </c>
    </row>
    <row r="53" spans="1:9" x14ac:dyDescent="0.35">
      <c r="A53" s="1" t="s">
        <v>56</v>
      </c>
      <c r="B53" s="2">
        <v>299</v>
      </c>
      <c r="C53" s="2">
        <v>384</v>
      </c>
      <c r="D53" s="1">
        <v>0.22</v>
      </c>
      <c r="E53" s="1">
        <v>0</v>
      </c>
      <c r="F53" s="1" t="s">
        <v>116</v>
      </c>
      <c r="G53" s="2">
        <v>85</v>
      </c>
      <c r="H53" s="1" t="str">
        <f t="shared" si="0"/>
        <v>N/A</v>
      </c>
      <c r="I53" s="1" t="str">
        <f t="shared" si="1"/>
        <v>medium</v>
      </c>
    </row>
    <row r="54" spans="1:9" x14ac:dyDescent="0.35">
      <c r="A54" s="1" t="s">
        <v>57</v>
      </c>
      <c r="B54" s="2">
        <v>1459</v>
      </c>
      <c r="C54" s="2">
        <v>1499</v>
      </c>
      <c r="D54" s="1">
        <v>0.03</v>
      </c>
      <c r="E54" s="1">
        <v>0</v>
      </c>
      <c r="F54" s="1" t="s">
        <v>116</v>
      </c>
      <c r="G54" s="2">
        <v>40</v>
      </c>
      <c r="H54" s="1" t="str">
        <f t="shared" si="0"/>
        <v>N/A</v>
      </c>
      <c r="I54" s="1" t="str">
        <f t="shared" si="1"/>
        <v>low</v>
      </c>
    </row>
    <row r="55" spans="1:9" x14ac:dyDescent="0.35">
      <c r="A55" s="1" t="s">
        <v>58</v>
      </c>
      <c r="B55" s="2">
        <v>799</v>
      </c>
      <c r="C55" s="2">
        <v>1343</v>
      </c>
      <c r="D55" s="1">
        <v>0.41</v>
      </c>
      <c r="E55" s="1">
        <v>0</v>
      </c>
      <c r="F55" s="1" t="s">
        <v>116</v>
      </c>
      <c r="G55" s="2">
        <v>544</v>
      </c>
      <c r="H55" s="1" t="str">
        <f t="shared" si="0"/>
        <v>N/A</v>
      </c>
      <c r="I55" s="1" t="str">
        <f t="shared" si="1"/>
        <v>high</v>
      </c>
    </row>
    <row r="56" spans="1:9" x14ac:dyDescent="0.35">
      <c r="A56" s="1" t="s">
        <v>59</v>
      </c>
      <c r="B56" s="2">
        <v>499</v>
      </c>
      <c r="C56" s="2">
        <v>900</v>
      </c>
      <c r="D56" s="1">
        <v>0.45</v>
      </c>
      <c r="E56" s="1">
        <v>0</v>
      </c>
      <c r="F56" s="1" t="s">
        <v>116</v>
      </c>
      <c r="G56" s="2">
        <v>401</v>
      </c>
      <c r="H56" s="1" t="str">
        <f t="shared" si="0"/>
        <v>N/A</v>
      </c>
      <c r="I56" s="1" t="str">
        <f t="shared" si="1"/>
        <v>high</v>
      </c>
    </row>
    <row r="57" spans="1:9" x14ac:dyDescent="0.35">
      <c r="A57" s="1" t="s">
        <v>60</v>
      </c>
      <c r="B57" s="2">
        <v>699</v>
      </c>
      <c r="C57" s="2">
        <v>1343</v>
      </c>
      <c r="D57" s="1">
        <v>0.48</v>
      </c>
      <c r="E57" s="1">
        <v>0</v>
      </c>
      <c r="F57" s="1" t="s">
        <v>116</v>
      </c>
      <c r="G57" s="2">
        <v>644</v>
      </c>
      <c r="H57" s="1" t="str">
        <f t="shared" si="0"/>
        <v>N/A</v>
      </c>
      <c r="I57" s="1" t="str">
        <f>IF(D57&lt;0.2,"low",IF(D57&lt;=0.4,"medium","high"))</f>
        <v>high</v>
      </c>
    </row>
    <row r="58" spans="1:9" x14ac:dyDescent="0.35">
      <c r="A58" s="1" t="s">
        <v>61</v>
      </c>
      <c r="B58" s="2">
        <v>799</v>
      </c>
      <c r="C58" s="2">
        <v>1567</v>
      </c>
      <c r="D58" s="1">
        <v>0.49</v>
      </c>
      <c r="E58" s="1">
        <v>0</v>
      </c>
      <c r="F58" s="1" t="s">
        <v>116</v>
      </c>
      <c r="G58" s="2">
        <v>768</v>
      </c>
      <c r="H58" s="1" t="str">
        <f t="shared" si="0"/>
        <v>N/A</v>
      </c>
      <c r="I58" s="1" t="str">
        <f t="shared" si="1"/>
        <v>high</v>
      </c>
    </row>
    <row r="59" spans="1:9" x14ac:dyDescent="0.35">
      <c r="A59" s="1" t="s">
        <v>62</v>
      </c>
      <c r="B59" s="2">
        <v>2799</v>
      </c>
      <c r="C59" s="2">
        <v>3810</v>
      </c>
      <c r="D59" s="1">
        <v>0.27</v>
      </c>
      <c r="E59" s="1">
        <v>0</v>
      </c>
      <c r="F59" s="1" t="s">
        <v>116</v>
      </c>
      <c r="G59" s="2">
        <v>1011</v>
      </c>
      <c r="H59" s="1" t="str">
        <f t="shared" si="0"/>
        <v>N/A</v>
      </c>
      <c r="I59" s="1" t="str">
        <f t="shared" si="1"/>
        <v>medium</v>
      </c>
    </row>
    <row r="60" spans="1:9" x14ac:dyDescent="0.35">
      <c r="A60" s="1" t="s">
        <v>63</v>
      </c>
      <c r="B60" s="2">
        <v>2170</v>
      </c>
      <c r="C60" s="2">
        <v>2500</v>
      </c>
      <c r="D60" s="1">
        <v>0.13</v>
      </c>
      <c r="E60" s="1">
        <v>6</v>
      </c>
      <c r="F60" s="1">
        <v>2.5</v>
      </c>
      <c r="G60" s="2">
        <v>330</v>
      </c>
      <c r="H60" s="1" t="str">
        <f t="shared" si="0"/>
        <v>Poor</v>
      </c>
      <c r="I60" s="1" t="str">
        <f t="shared" si="1"/>
        <v>low</v>
      </c>
    </row>
    <row r="61" spans="1:9" x14ac:dyDescent="0.35">
      <c r="A61" s="1" t="s">
        <v>64</v>
      </c>
      <c r="B61" s="2">
        <v>458</v>
      </c>
      <c r="C61" s="2">
        <v>986</v>
      </c>
      <c r="D61" s="1">
        <v>0.54</v>
      </c>
      <c r="E61" s="1">
        <v>10</v>
      </c>
      <c r="F61" s="1">
        <v>3</v>
      </c>
      <c r="G61" s="2">
        <v>528</v>
      </c>
      <c r="H61" s="1" t="str">
        <f t="shared" si="0"/>
        <v>Average</v>
      </c>
      <c r="I61" s="1" t="str">
        <f t="shared" si="1"/>
        <v>high</v>
      </c>
    </row>
    <row r="62" spans="1:9" x14ac:dyDescent="0.35">
      <c r="A62" s="1" t="s">
        <v>65</v>
      </c>
      <c r="B62" s="2">
        <v>2115</v>
      </c>
      <c r="C62" s="2">
        <v>4700</v>
      </c>
      <c r="D62" s="1">
        <v>0.55000000000000004</v>
      </c>
      <c r="E62" s="1">
        <v>13</v>
      </c>
      <c r="F62" s="1">
        <v>2.1</v>
      </c>
      <c r="G62" s="2">
        <v>2585</v>
      </c>
      <c r="H62" s="1" t="str">
        <f t="shared" si="0"/>
        <v>Poor</v>
      </c>
      <c r="I62" s="1" t="str">
        <f t="shared" si="1"/>
        <v>high</v>
      </c>
    </row>
    <row r="63" spans="1:9" x14ac:dyDescent="0.35">
      <c r="A63" s="1" t="s">
        <v>66</v>
      </c>
      <c r="B63" s="2">
        <v>445</v>
      </c>
      <c r="C63" s="2">
        <v>873</v>
      </c>
      <c r="D63" s="1">
        <v>0.49</v>
      </c>
      <c r="E63" s="1">
        <v>69</v>
      </c>
      <c r="F63" s="1">
        <v>2.8</v>
      </c>
      <c r="G63" s="2">
        <v>428</v>
      </c>
      <c r="H63" s="1" t="str">
        <f t="shared" si="0"/>
        <v>Poor</v>
      </c>
      <c r="I63" s="1" t="str">
        <f t="shared" si="1"/>
        <v>high</v>
      </c>
    </row>
    <row r="64" spans="1:9" x14ac:dyDescent="0.35">
      <c r="A64" s="1" t="s">
        <v>67</v>
      </c>
      <c r="B64" s="2">
        <v>325</v>
      </c>
      <c r="C64" s="2">
        <v>680</v>
      </c>
      <c r="D64" s="1">
        <v>0.52</v>
      </c>
      <c r="E64" s="1">
        <v>15</v>
      </c>
      <c r="F64" s="1">
        <v>2.7</v>
      </c>
      <c r="G64" s="2">
        <v>355</v>
      </c>
      <c r="H64" s="1" t="str">
        <f t="shared" si="0"/>
        <v>Poor</v>
      </c>
      <c r="I64" s="1" t="str">
        <f t="shared" si="1"/>
        <v>high</v>
      </c>
    </row>
    <row r="65" spans="1:9" x14ac:dyDescent="0.35">
      <c r="A65" s="1" t="s">
        <v>68</v>
      </c>
      <c r="B65" s="2">
        <v>1220</v>
      </c>
      <c r="C65" s="2">
        <v>1555</v>
      </c>
      <c r="D65" s="1">
        <v>0.22</v>
      </c>
      <c r="E65" s="1">
        <v>16</v>
      </c>
      <c r="F65" s="1">
        <v>2.9</v>
      </c>
      <c r="G65" s="2">
        <v>335</v>
      </c>
      <c r="H65" s="1" t="str">
        <f t="shared" si="0"/>
        <v>Poor</v>
      </c>
      <c r="I65" s="1" t="str">
        <f t="shared" si="1"/>
        <v>medium</v>
      </c>
    </row>
    <row r="66" spans="1:9" x14ac:dyDescent="0.35">
      <c r="A66" s="1" t="s">
        <v>69</v>
      </c>
      <c r="B66" s="2">
        <v>990</v>
      </c>
      <c r="C66" s="2">
        <v>1814</v>
      </c>
      <c r="D66" s="1">
        <v>0.45</v>
      </c>
      <c r="E66" s="1">
        <v>6</v>
      </c>
      <c r="F66" s="1">
        <v>2.2000000000000002</v>
      </c>
      <c r="G66" s="2">
        <v>824</v>
      </c>
      <c r="H66" s="1" t="str">
        <f t="shared" si="0"/>
        <v>Poor</v>
      </c>
      <c r="I66" s="1" t="str">
        <f t="shared" si="1"/>
        <v>high</v>
      </c>
    </row>
    <row r="67" spans="1:9" x14ac:dyDescent="0.35">
      <c r="A67" s="1" t="s">
        <v>70</v>
      </c>
      <c r="B67" s="2">
        <v>1000</v>
      </c>
      <c r="C67" s="2">
        <v>2000</v>
      </c>
      <c r="D67" s="1">
        <v>0.5</v>
      </c>
      <c r="E67" s="1">
        <v>7</v>
      </c>
      <c r="F67" s="1">
        <v>2.2999999999999998</v>
      </c>
      <c r="G67" s="2">
        <v>1000</v>
      </c>
      <c r="H67" s="1" t="str">
        <f t="shared" ref="H67:H110" si="2">IF(F67="Not provided","N/A",IF(F67&lt;3,"Poor",IF(F67&lt;=4.4,"Average","Excellent")))</f>
        <v>Poor</v>
      </c>
      <c r="I67" s="1" t="str">
        <f t="shared" ref="I67:I106" si="3">IF(D67&lt;0.2,"low",IF(D67&lt;=0.4,"medium","high"))</f>
        <v>high</v>
      </c>
    </row>
    <row r="68" spans="1:9" x14ac:dyDescent="0.35">
      <c r="A68" s="1" t="s">
        <v>71</v>
      </c>
      <c r="B68" s="2">
        <v>3750</v>
      </c>
      <c r="C68" s="2">
        <v>6143</v>
      </c>
      <c r="D68" s="1">
        <v>0.39</v>
      </c>
      <c r="E68" s="1">
        <v>5</v>
      </c>
      <c r="F68" s="1">
        <v>3</v>
      </c>
      <c r="G68" s="2">
        <v>2393</v>
      </c>
      <c r="H68" s="1" t="str">
        <f t="shared" si="2"/>
        <v>Average</v>
      </c>
      <c r="I68" s="1" t="str">
        <f t="shared" si="3"/>
        <v>medium</v>
      </c>
    </row>
    <row r="69" spans="1:9" x14ac:dyDescent="0.35">
      <c r="A69" s="1" t="s">
        <v>72</v>
      </c>
      <c r="B69" s="2">
        <v>382</v>
      </c>
      <c r="C69" s="2">
        <v>700</v>
      </c>
      <c r="D69" s="1">
        <v>0.45</v>
      </c>
      <c r="E69" s="1">
        <v>17</v>
      </c>
      <c r="F69" s="1">
        <v>2.6</v>
      </c>
      <c r="G69" s="2">
        <v>318</v>
      </c>
      <c r="H69" s="1" t="str">
        <f t="shared" si="2"/>
        <v>Poor</v>
      </c>
      <c r="I69" s="1" t="str">
        <f t="shared" si="3"/>
        <v>high</v>
      </c>
    </row>
    <row r="70" spans="1:9" x14ac:dyDescent="0.35">
      <c r="A70" s="1" t="s">
        <v>73</v>
      </c>
      <c r="B70" s="2">
        <v>2300</v>
      </c>
      <c r="C70" s="2">
        <v>3240</v>
      </c>
      <c r="D70" s="1">
        <v>0.28999999999999998</v>
      </c>
      <c r="E70" s="1">
        <v>5</v>
      </c>
      <c r="F70" s="1">
        <v>3</v>
      </c>
      <c r="G70" s="2">
        <v>940</v>
      </c>
      <c r="H70" s="1" t="str">
        <f t="shared" si="2"/>
        <v>Average</v>
      </c>
      <c r="I70" s="1" t="str">
        <f t="shared" si="3"/>
        <v>medium</v>
      </c>
    </row>
    <row r="71" spans="1:9" x14ac:dyDescent="0.35">
      <c r="A71" s="1" t="s">
        <v>74</v>
      </c>
      <c r="B71" s="2">
        <v>345</v>
      </c>
      <c r="C71" s="2">
        <v>602</v>
      </c>
      <c r="D71" s="1">
        <v>0.43</v>
      </c>
      <c r="E71" s="1">
        <v>6</v>
      </c>
      <c r="F71" s="1">
        <v>2.2999999999999998</v>
      </c>
      <c r="G71" s="2">
        <v>257</v>
      </c>
      <c r="H71" s="1" t="str">
        <f t="shared" si="2"/>
        <v>Poor</v>
      </c>
      <c r="I71" s="1" t="str">
        <f t="shared" si="3"/>
        <v>high</v>
      </c>
    </row>
    <row r="72" spans="1:9" x14ac:dyDescent="0.35">
      <c r="A72" s="1" t="s">
        <v>75</v>
      </c>
      <c r="B72" s="2">
        <v>509</v>
      </c>
      <c r="C72" s="2">
        <v>899</v>
      </c>
      <c r="D72" s="1">
        <v>0.43</v>
      </c>
      <c r="E72" s="1">
        <v>5</v>
      </c>
      <c r="F72" s="1">
        <v>3</v>
      </c>
      <c r="G72" s="2">
        <v>390</v>
      </c>
      <c r="H72" s="1" t="str">
        <f t="shared" si="2"/>
        <v>Average</v>
      </c>
      <c r="I72" s="1" t="str">
        <f t="shared" si="3"/>
        <v>high</v>
      </c>
    </row>
    <row r="73" spans="1:9" x14ac:dyDescent="0.35">
      <c r="A73" s="1" t="s">
        <v>76</v>
      </c>
      <c r="B73" s="2">
        <v>968</v>
      </c>
      <c r="C73" s="2">
        <v>1814</v>
      </c>
      <c r="D73" s="1">
        <v>0.47</v>
      </c>
      <c r="E73" s="1">
        <v>6</v>
      </c>
      <c r="F73" s="1">
        <v>2.2000000000000002</v>
      </c>
      <c r="G73" s="2">
        <v>846</v>
      </c>
      <c r="H73" s="1" t="str">
        <f t="shared" si="2"/>
        <v>Poor</v>
      </c>
      <c r="I73" s="1" t="str">
        <f t="shared" si="3"/>
        <v>high</v>
      </c>
    </row>
    <row r="74" spans="1:9" x14ac:dyDescent="0.35">
      <c r="A74" s="1" t="s">
        <v>77</v>
      </c>
      <c r="B74" s="2">
        <v>1570</v>
      </c>
      <c r="C74" s="2">
        <v>2988</v>
      </c>
      <c r="D74" s="1">
        <v>0.47</v>
      </c>
      <c r="E74" s="1">
        <v>7</v>
      </c>
      <c r="F74" s="1">
        <v>2.1</v>
      </c>
      <c r="G74" s="2">
        <v>1418</v>
      </c>
      <c r="H74" s="1" t="str">
        <f t="shared" si="2"/>
        <v>Poor</v>
      </c>
      <c r="I74" s="1" t="str">
        <f t="shared" si="3"/>
        <v>high</v>
      </c>
    </row>
    <row r="75" spans="1:9" x14ac:dyDescent="0.35">
      <c r="A75" s="1" t="s">
        <v>78</v>
      </c>
      <c r="B75" s="2">
        <v>790</v>
      </c>
      <c r="C75" s="2">
        <v>1485</v>
      </c>
      <c r="D75" s="1">
        <v>0.47</v>
      </c>
      <c r="E75" s="1">
        <v>0</v>
      </c>
      <c r="F75" s="1" t="s">
        <v>116</v>
      </c>
      <c r="G75" s="2">
        <v>695</v>
      </c>
      <c r="H75" s="1" t="str">
        <f t="shared" si="2"/>
        <v>N/A</v>
      </c>
      <c r="I75" s="1" t="str">
        <f t="shared" si="3"/>
        <v>high</v>
      </c>
    </row>
    <row r="76" spans="1:9" x14ac:dyDescent="0.35">
      <c r="A76" s="1" t="s">
        <v>79</v>
      </c>
      <c r="B76" s="2">
        <v>690</v>
      </c>
      <c r="C76" s="2">
        <v>1200</v>
      </c>
      <c r="D76" s="1">
        <v>0.43</v>
      </c>
      <c r="E76" s="1">
        <v>0</v>
      </c>
      <c r="F76" s="1" t="s">
        <v>116</v>
      </c>
      <c r="G76" s="2">
        <v>510</v>
      </c>
      <c r="H76" s="1" t="str">
        <f t="shared" si="2"/>
        <v>N/A</v>
      </c>
      <c r="I76" s="1" t="str">
        <f t="shared" si="3"/>
        <v>high</v>
      </c>
    </row>
    <row r="77" spans="1:9" x14ac:dyDescent="0.35">
      <c r="A77" s="1" t="s">
        <v>80</v>
      </c>
      <c r="B77" s="2">
        <v>1732</v>
      </c>
      <c r="C77" s="2">
        <v>1799</v>
      </c>
      <c r="D77" s="1">
        <v>0.04</v>
      </c>
      <c r="E77" s="1">
        <v>0</v>
      </c>
      <c r="F77" s="1" t="s">
        <v>116</v>
      </c>
      <c r="G77" s="2">
        <v>67</v>
      </c>
      <c r="H77" s="1" t="str">
        <f t="shared" si="2"/>
        <v>N/A</v>
      </c>
      <c r="I77" s="1" t="str">
        <f t="shared" si="3"/>
        <v>low</v>
      </c>
    </row>
    <row r="78" spans="1:9" x14ac:dyDescent="0.35">
      <c r="A78" s="1" t="s">
        <v>81</v>
      </c>
      <c r="B78" s="2">
        <v>230</v>
      </c>
      <c r="C78" s="2">
        <v>450</v>
      </c>
      <c r="D78" s="1">
        <v>0.49</v>
      </c>
      <c r="E78" s="1">
        <v>0</v>
      </c>
      <c r="F78" s="1" t="s">
        <v>116</v>
      </c>
      <c r="G78" s="2">
        <v>220</v>
      </c>
      <c r="H78" s="1" t="str">
        <f t="shared" si="2"/>
        <v>N/A</v>
      </c>
      <c r="I78" s="1" t="str">
        <f t="shared" si="3"/>
        <v>high</v>
      </c>
    </row>
    <row r="79" spans="1:9" x14ac:dyDescent="0.35">
      <c r="A79" s="1" t="s">
        <v>82</v>
      </c>
      <c r="B79" s="2">
        <v>1189</v>
      </c>
      <c r="C79" s="2">
        <v>2199</v>
      </c>
      <c r="D79" s="1">
        <v>0.46</v>
      </c>
      <c r="E79" s="1">
        <v>1</v>
      </c>
      <c r="F79" s="1">
        <v>3</v>
      </c>
      <c r="G79" s="2">
        <v>1010</v>
      </c>
      <c r="H79" s="1" t="str">
        <f t="shared" si="2"/>
        <v>Average</v>
      </c>
      <c r="I79" s="1" t="str">
        <f t="shared" si="3"/>
        <v>high</v>
      </c>
    </row>
    <row r="80" spans="1:9" x14ac:dyDescent="0.35">
      <c r="A80" s="1" t="s">
        <v>83</v>
      </c>
      <c r="B80" s="2">
        <v>979</v>
      </c>
      <c r="C80" s="2">
        <v>1920</v>
      </c>
      <c r="D80" s="1">
        <v>0.49</v>
      </c>
      <c r="E80" s="1">
        <v>1</v>
      </c>
      <c r="F80" s="1">
        <v>5</v>
      </c>
      <c r="G80" s="2">
        <v>941</v>
      </c>
      <c r="H80" s="1" t="str">
        <f t="shared" si="2"/>
        <v>Excellent</v>
      </c>
      <c r="I80" s="1" t="str">
        <f t="shared" si="3"/>
        <v>high</v>
      </c>
    </row>
    <row r="81" spans="1:9" x14ac:dyDescent="0.35">
      <c r="A81" s="1" t="s">
        <v>84</v>
      </c>
      <c r="B81" s="2">
        <v>1460</v>
      </c>
      <c r="C81" s="2">
        <v>2290</v>
      </c>
      <c r="D81" s="1">
        <v>0.36</v>
      </c>
      <c r="E81" s="1">
        <v>0</v>
      </c>
      <c r="F81" s="1" t="s">
        <v>116</v>
      </c>
      <c r="G81" s="2">
        <v>830</v>
      </c>
      <c r="H81" s="1" t="str">
        <f t="shared" si="2"/>
        <v>N/A</v>
      </c>
      <c r="I81" s="1" t="str">
        <f t="shared" si="3"/>
        <v>medium</v>
      </c>
    </row>
    <row r="82" spans="1:9" x14ac:dyDescent="0.35">
      <c r="A82" s="1" t="s">
        <v>85</v>
      </c>
      <c r="B82" s="2">
        <v>1666</v>
      </c>
      <c r="C82" s="2">
        <v>1699</v>
      </c>
      <c r="D82" s="1">
        <v>0.02</v>
      </c>
      <c r="E82" s="1">
        <v>0</v>
      </c>
      <c r="F82" s="1" t="s">
        <v>116</v>
      </c>
      <c r="G82" s="2">
        <v>33</v>
      </c>
      <c r="H82" s="1" t="str">
        <f t="shared" si="2"/>
        <v>N/A</v>
      </c>
      <c r="I82" s="1" t="str">
        <f t="shared" si="3"/>
        <v>low</v>
      </c>
    </row>
    <row r="83" spans="1:9" x14ac:dyDescent="0.35">
      <c r="A83" s="1" t="s">
        <v>86</v>
      </c>
      <c r="B83" s="2">
        <v>330</v>
      </c>
      <c r="C83" s="2">
        <v>647</v>
      </c>
      <c r="D83" s="1">
        <v>0.49</v>
      </c>
      <c r="E83" s="1">
        <v>1</v>
      </c>
      <c r="F83" s="1">
        <v>4</v>
      </c>
      <c r="G83" s="2">
        <v>317</v>
      </c>
      <c r="H83" s="1" t="str">
        <f t="shared" si="2"/>
        <v>Average</v>
      </c>
      <c r="I83" s="1" t="str">
        <f t="shared" si="3"/>
        <v>high</v>
      </c>
    </row>
    <row r="84" spans="1:9" x14ac:dyDescent="0.35">
      <c r="A84" s="1" t="s">
        <v>87</v>
      </c>
      <c r="B84" s="2">
        <v>1466</v>
      </c>
      <c r="C84" s="2">
        <v>1699</v>
      </c>
      <c r="D84" s="1">
        <v>0.14000000000000001</v>
      </c>
      <c r="E84" s="1">
        <v>0</v>
      </c>
      <c r="F84" s="1" t="s">
        <v>116</v>
      </c>
      <c r="G84" s="2">
        <v>233</v>
      </c>
      <c r="H84" s="1" t="str">
        <f t="shared" si="2"/>
        <v>N/A</v>
      </c>
      <c r="I84" s="1" t="str">
        <f t="shared" si="3"/>
        <v>low</v>
      </c>
    </row>
    <row r="85" spans="1:9" x14ac:dyDescent="0.35">
      <c r="A85" s="1" t="s">
        <v>88</v>
      </c>
      <c r="B85" s="2">
        <v>274</v>
      </c>
      <c r="C85" s="2">
        <v>537</v>
      </c>
      <c r="D85" s="1">
        <v>0.49</v>
      </c>
      <c r="E85" s="1">
        <v>0</v>
      </c>
      <c r="F85" s="1" t="s">
        <v>116</v>
      </c>
      <c r="G85" s="2">
        <v>263</v>
      </c>
      <c r="H85" s="1" t="str">
        <f t="shared" si="2"/>
        <v>N/A</v>
      </c>
      <c r="I85" s="1" t="str">
        <f t="shared" si="3"/>
        <v>high</v>
      </c>
    </row>
    <row r="86" spans="1:9" x14ac:dyDescent="0.35">
      <c r="A86" s="1" t="s">
        <v>89</v>
      </c>
      <c r="B86" s="2">
        <v>799</v>
      </c>
      <c r="C86" s="2">
        <v>900</v>
      </c>
      <c r="D86" s="1">
        <v>0.11</v>
      </c>
      <c r="E86" s="1">
        <v>0</v>
      </c>
      <c r="F86" s="1" t="s">
        <v>116</v>
      </c>
      <c r="G86" s="2">
        <v>101</v>
      </c>
      <c r="H86" s="1" t="str">
        <f t="shared" si="2"/>
        <v>N/A</v>
      </c>
      <c r="I86" s="1" t="str">
        <f t="shared" si="3"/>
        <v>low</v>
      </c>
    </row>
    <row r="87" spans="1:9" x14ac:dyDescent="0.35">
      <c r="A87" s="1" t="s">
        <v>90</v>
      </c>
      <c r="B87" s="2">
        <v>1468</v>
      </c>
      <c r="C87" s="2">
        <v>1699</v>
      </c>
      <c r="D87" s="1">
        <v>0.14000000000000001</v>
      </c>
      <c r="E87" s="1">
        <v>0</v>
      </c>
      <c r="F87" s="1" t="s">
        <v>116</v>
      </c>
      <c r="G87" s="2">
        <v>231</v>
      </c>
      <c r="H87" s="1" t="str">
        <f t="shared" si="2"/>
        <v>N/A</v>
      </c>
      <c r="I87" s="1" t="str">
        <f t="shared" si="3"/>
        <v>low</v>
      </c>
    </row>
    <row r="88" spans="1:9" x14ac:dyDescent="0.35">
      <c r="A88" s="1" t="s">
        <v>91</v>
      </c>
      <c r="B88" s="2">
        <v>630</v>
      </c>
      <c r="C88" s="2">
        <v>1100</v>
      </c>
      <c r="D88" s="1">
        <v>0.43</v>
      </c>
      <c r="E88" s="1">
        <v>0</v>
      </c>
      <c r="F88" s="1" t="s">
        <v>116</v>
      </c>
      <c r="G88" s="2">
        <v>470</v>
      </c>
      <c r="H88" s="1" t="str">
        <f t="shared" si="2"/>
        <v>N/A</v>
      </c>
      <c r="I88" s="1" t="str">
        <f t="shared" si="3"/>
        <v>high</v>
      </c>
    </row>
    <row r="89" spans="1:9" x14ac:dyDescent="0.35">
      <c r="A89" s="1" t="s">
        <v>92</v>
      </c>
      <c r="B89" s="2">
        <v>850</v>
      </c>
      <c r="C89" s="2">
        <v>1700</v>
      </c>
      <c r="D89" s="1">
        <v>0.5</v>
      </c>
      <c r="E89" s="1">
        <v>0</v>
      </c>
      <c r="F89" s="1" t="s">
        <v>116</v>
      </c>
      <c r="G89" s="2">
        <v>850</v>
      </c>
      <c r="H89" s="1" t="str">
        <f t="shared" si="2"/>
        <v>N/A</v>
      </c>
      <c r="I89" s="1" t="str">
        <f t="shared" si="3"/>
        <v>high</v>
      </c>
    </row>
    <row r="90" spans="1:9" x14ac:dyDescent="0.35">
      <c r="A90" s="1" t="s">
        <v>93</v>
      </c>
      <c r="B90" s="2">
        <v>1300</v>
      </c>
      <c r="C90" s="2">
        <v>2500</v>
      </c>
      <c r="D90" s="1">
        <v>0.48</v>
      </c>
      <c r="E90" s="1">
        <v>0</v>
      </c>
      <c r="F90" s="1" t="s">
        <v>116</v>
      </c>
      <c r="G90" s="2">
        <v>1200</v>
      </c>
      <c r="H90" s="1" t="str">
        <f t="shared" si="2"/>
        <v>N/A</v>
      </c>
      <c r="I90" s="1" t="str">
        <f t="shared" si="3"/>
        <v>high</v>
      </c>
    </row>
    <row r="91" spans="1:9" x14ac:dyDescent="0.35">
      <c r="A91" s="1" t="s">
        <v>94</v>
      </c>
      <c r="B91" s="2">
        <v>105</v>
      </c>
      <c r="C91" s="2">
        <v>200</v>
      </c>
      <c r="D91" s="1">
        <v>0.48</v>
      </c>
      <c r="E91" s="1">
        <v>0</v>
      </c>
      <c r="F91" s="1" t="s">
        <v>116</v>
      </c>
      <c r="G91" s="2">
        <v>95</v>
      </c>
      <c r="H91" s="1" t="str">
        <f t="shared" si="2"/>
        <v>N/A</v>
      </c>
      <c r="I91" s="1" t="str">
        <f t="shared" si="3"/>
        <v>high</v>
      </c>
    </row>
    <row r="92" spans="1:9" x14ac:dyDescent="0.35">
      <c r="A92" s="1" t="s">
        <v>95</v>
      </c>
      <c r="B92" s="2">
        <v>899</v>
      </c>
      <c r="C92" s="2">
        <v>1699</v>
      </c>
      <c r="D92" s="1">
        <v>0.47</v>
      </c>
      <c r="E92" s="1">
        <v>0</v>
      </c>
      <c r="F92" s="1" t="s">
        <v>116</v>
      </c>
      <c r="G92" s="2">
        <v>800</v>
      </c>
      <c r="H92" s="1" t="str">
        <f t="shared" si="2"/>
        <v>N/A</v>
      </c>
      <c r="I92" s="1" t="str">
        <f t="shared" si="3"/>
        <v>high</v>
      </c>
    </row>
    <row r="93" spans="1:9" x14ac:dyDescent="0.35">
      <c r="A93" s="1" t="s">
        <v>96</v>
      </c>
      <c r="B93" s="2">
        <v>1200</v>
      </c>
      <c r="C93" s="2">
        <v>2400</v>
      </c>
      <c r="D93" s="1">
        <v>0.5</v>
      </c>
      <c r="E93" s="1">
        <v>0</v>
      </c>
      <c r="F93" s="1" t="s">
        <v>116</v>
      </c>
      <c r="G93" s="2">
        <v>1200</v>
      </c>
      <c r="H93" s="1" t="str">
        <f t="shared" si="2"/>
        <v>N/A</v>
      </c>
      <c r="I93" s="1" t="str">
        <f t="shared" si="3"/>
        <v>high</v>
      </c>
    </row>
    <row r="94" spans="1:9" x14ac:dyDescent="0.35">
      <c r="A94" s="1" t="s">
        <v>97</v>
      </c>
      <c r="B94" s="2">
        <v>1526</v>
      </c>
      <c r="C94" s="2">
        <v>1660</v>
      </c>
      <c r="D94" s="1">
        <v>0.08</v>
      </c>
      <c r="E94" s="1">
        <v>0</v>
      </c>
      <c r="F94" s="1" t="s">
        <v>116</v>
      </c>
      <c r="G94" s="2">
        <v>134</v>
      </c>
      <c r="H94" s="1" t="str">
        <f t="shared" si="2"/>
        <v>N/A</v>
      </c>
      <c r="I94" s="1" t="str">
        <f t="shared" si="3"/>
        <v>low</v>
      </c>
    </row>
    <row r="95" spans="1:9" x14ac:dyDescent="0.35">
      <c r="A95" s="1" t="s">
        <v>98</v>
      </c>
      <c r="B95" s="2">
        <v>1462</v>
      </c>
      <c r="C95" s="2">
        <v>1499</v>
      </c>
      <c r="D95" s="1">
        <v>0.02</v>
      </c>
      <c r="E95" s="1">
        <v>0</v>
      </c>
      <c r="F95" s="1" t="s">
        <v>116</v>
      </c>
      <c r="G95" s="2">
        <v>37</v>
      </c>
      <c r="H95" s="1" t="str">
        <f t="shared" si="2"/>
        <v>N/A</v>
      </c>
      <c r="I95" s="1" t="str">
        <f t="shared" si="3"/>
        <v>low</v>
      </c>
    </row>
    <row r="96" spans="1:9" x14ac:dyDescent="0.35">
      <c r="A96" s="1" t="s">
        <v>99</v>
      </c>
      <c r="B96" s="2">
        <v>248</v>
      </c>
      <c r="C96" s="2">
        <v>486</v>
      </c>
      <c r="D96" s="1">
        <v>0.49</v>
      </c>
      <c r="E96" s="1">
        <v>0</v>
      </c>
      <c r="F96" s="1" t="s">
        <v>116</v>
      </c>
      <c r="G96" s="2">
        <v>238</v>
      </c>
      <c r="H96" s="1" t="str">
        <f t="shared" si="2"/>
        <v>N/A</v>
      </c>
      <c r="I96" s="1" t="str">
        <f t="shared" si="3"/>
        <v>high</v>
      </c>
    </row>
    <row r="97" spans="1:9" x14ac:dyDescent="0.35">
      <c r="A97" s="1" t="s">
        <v>100</v>
      </c>
      <c r="B97" s="2">
        <v>3546</v>
      </c>
      <c r="C97" s="2">
        <v>3699</v>
      </c>
      <c r="D97" s="1">
        <v>0.04</v>
      </c>
      <c r="E97" s="1">
        <v>0</v>
      </c>
      <c r="F97" s="1" t="s">
        <v>116</v>
      </c>
      <c r="G97" s="2">
        <v>153</v>
      </c>
      <c r="H97" s="1" t="str">
        <f t="shared" si="2"/>
        <v>N/A</v>
      </c>
      <c r="I97" s="1" t="str">
        <f t="shared" si="3"/>
        <v>low</v>
      </c>
    </row>
    <row r="98" spans="1:9" x14ac:dyDescent="0.35">
      <c r="A98" s="1" t="s">
        <v>101</v>
      </c>
      <c r="B98" s="2">
        <v>525</v>
      </c>
      <c r="C98" s="2">
        <v>1029</v>
      </c>
      <c r="D98" s="1">
        <v>0.49</v>
      </c>
      <c r="E98" s="1">
        <v>0</v>
      </c>
      <c r="F98" s="1" t="s">
        <v>116</v>
      </c>
      <c r="G98" s="2">
        <v>504</v>
      </c>
      <c r="H98" s="1" t="str">
        <f t="shared" si="2"/>
        <v>N/A</v>
      </c>
      <c r="I98" s="1" t="str">
        <f t="shared" si="3"/>
        <v>high</v>
      </c>
    </row>
    <row r="99" spans="1:9" x14ac:dyDescent="0.35">
      <c r="A99" s="1" t="s">
        <v>102</v>
      </c>
      <c r="B99" s="2">
        <v>1080</v>
      </c>
      <c r="C99" s="2">
        <v>1874</v>
      </c>
      <c r="D99" s="1">
        <v>0.42</v>
      </c>
      <c r="E99" s="1">
        <v>0</v>
      </c>
      <c r="F99" s="1" t="s">
        <v>116</v>
      </c>
      <c r="G99" s="2">
        <v>794</v>
      </c>
      <c r="H99" s="1" t="str">
        <f t="shared" si="2"/>
        <v>N/A</v>
      </c>
      <c r="I99" s="1" t="str">
        <f t="shared" si="3"/>
        <v>high</v>
      </c>
    </row>
    <row r="100" spans="1:9" x14ac:dyDescent="0.35">
      <c r="A100" s="1" t="s">
        <v>103</v>
      </c>
      <c r="B100" s="2">
        <v>3640</v>
      </c>
      <c r="C100" s="2">
        <v>4588</v>
      </c>
      <c r="D100" s="1">
        <v>0.21</v>
      </c>
      <c r="E100" s="1">
        <v>1</v>
      </c>
      <c r="F100" s="1">
        <v>5</v>
      </c>
      <c r="G100" s="2">
        <v>948</v>
      </c>
      <c r="H100" s="1" t="str">
        <f t="shared" si="2"/>
        <v>Excellent</v>
      </c>
      <c r="I100" s="1" t="str">
        <f t="shared" si="3"/>
        <v>medium</v>
      </c>
    </row>
    <row r="101" spans="1:9" x14ac:dyDescent="0.35">
      <c r="A101" s="1" t="s">
        <v>104</v>
      </c>
      <c r="B101" s="2">
        <v>1420</v>
      </c>
      <c r="C101" s="2">
        <v>2420</v>
      </c>
      <c r="D101" s="1">
        <v>0.41</v>
      </c>
      <c r="E101" s="1">
        <v>0</v>
      </c>
      <c r="F101" s="1" t="s">
        <v>116</v>
      </c>
      <c r="G101" s="2">
        <v>1000</v>
      </c>
      <c r="H101" s="1" t="str">
        <f t="shared" si="2"/>
        <v>N/A</v>
      </c>
      <c r="I101" s="1" t="str">
        <f t="shared" si="3"/>
        <v>high</v>
      </c>
    </row>
    <row r="102" spans="1:9" x14ac:dyDescent="0.35">
      <c r="A102" s="1" t="s">
        <v>105</v>
      </c>
      <c r="B102" s="2">
        <v>1875</v>
      </c>
      <c r="C102" s="2">
        <v>1899</v>
      </c>
      <c r="D102" s="1">
        <v>0.01</v>
      </c>
      <c r="E102" s="1">
        <v>0</v>
      </c>
      <c r="F102" s="1" t="s">
        <v>116</v>
      </c>
      <c r="G102" s="2">
        <v>24</v>
      </c>
      <c r="H102" s="1" t="str">
        <f t="shared" si="2"/>
        <v>N/A</v>
      </c>
      <c r="I102" s="1" t="str">
        <f t="shared" si="3"/>
        <v>low</v>
      </c>
    </row>
    <row r="103" spans="1:9" x14ac:dyDescent="0.35">
      <c r="A103" s="1" t="s">
        <v>106</v>
      </c>
      <c r="B103" s="2">
        <v>198</v>
      </c>
      <c r="C103" s="2">
        <v>260</v>
      </c>
      <c r="D103" s="1">
        <v>0.24</v>
      </c>
      <c r="E103" s="1">
        <v>0</v>
      </c>
      <c r="F103" s="1" t="s">
        <v>116</v>
      </c>
      <c r="G103" s="2">
        <v>62</v>
      </c>
      <c r="H103" s="1" t="str">
        <f t="shared" si="2"/>
        <v>N/A</v>
      </c>
      <c r="I103" s="1" t="str">
        <f t="shared" si="3"/>
        <v>medium</v>
      </c>
    </row>
    <row r="104" spans="1:9" x14ac:dyDescent="0.35">
      <c r="A104" s="1" t="s">
        <v>107</v>
      </c>
      <c r="B104" s="2">
        <v>1150</v>
      </c>
      <c r="C104" s="2">
        <v>1737</v>
      </c>
      <c r="D104" s="1">
        <v>0.34</v>
      </c>
      <c r="E104" s="1">
        <v>0</v>
      </c>
      <c r="F104" s="1" t="s">
        <v>116</v>
      </c>
      <c r="G104" s="2">
        <v>587</v>
      </c>
      <c r="H104" s="1" t="str">
        <f t="shared" si="2"/>
        <v>N/A</v>
      </c>
      <c r="I104" s="1" t="str">
        <f t="shared" si="3"/>
        <v>medium</v>
      </c>
    </row>
    <row r="105" spans="1:9" x14ac:dyDescent="0.35">
      <c r="A105" s="1" t="s">
        <v>108</v>
      </c>
      <c r="B105" s="2">
        <v>1190</v>
      </c>
      <c r="C105" s="2">
        <v>1810</v>
      </c>
      <c r="D105" s="1">
        <v>0.34</v>
      </c>
      <c r="E105" s="1">
        <v>0</v>
      </c>
      <c r="F105" s="1" t="s">
        <v>116</v>
      </c>
      <c r="G105" s="2">
        <v>620</v>
      </c>
      <c r="H105" s="1" t="str">
        <f t="shared" si="2"/>
        <v>N/A</v>
      </c>
      <c r="I105" s="1" t="str">
        <f t="shared" si="3"/>
        <v>medium</v>
      </c>
    </row>
    <row r="106" spans="1:9" x14ac:dyDescent="0.35">
      <c r="A106" s="1" t="s">
        <v>109</v>
      </c>
      <c r="B106" s="2">
        <v>1658</v>
      </c>
      <c r="C106" s="2">
        <v>1699</v>
      </c>
      <c r="D106" s="1">
        <v>0.02</v>
      </c>
      <c r="E106" s="1">
        <v>0</v>
      </c>
      <c r="F106" s="1" t="s">
        <v>116</v>
      </c>
      <c r="G106" s="2">
        <v>41</v>
      </c>
      <c r="H106" s="1" t="str">
        <f t="shared" si="2"/>
        <v>N/A</v>
      </c>
      <c r="I106" s="1" t="str">
        <f t="shared" si="3"/>
        <v>low</v>
      </c>
    </row>
    <row r="107" spans="1:9" x14ac:dyDescent="0.35">
      <c r="A107" s="1" t="s">
        <v>110</v>
      </c>
      <c r="B107" s="2">
        <v>1768</v>
      </c>
      <c r="C107" s="2">
        <v>1799</v>
      </c>
      <c r="D107" s="1">
        <v>0.02</v>
      </c>
      <c r="E107" s="1">
        <v>0</v>
      </c>
      <c r="F107" s="1" t="s">
        <v>116</v>
      </c>
      <c r="G107" s="2">
        <v>31</v>
      </c>
      <c r="H107" s="1" t="str">
        <f t="shared" si="2"/>
        <v>N/A</v>
      </c>
      <c r="I107" s="1" t="str">
        <f>IF(D107&lt;0.2,"low",IF(D107&lt;=0.4,"medium","high"))</f>
        <v>low</v>
      </c>
    </row>
    <row r="108" spans="1:9" x14ac:dyDescent="0.35">
      <c r="A108" s="1" t="s">
        <v>111</v>
      </c>
      <c r="B108" s="2">
        <v>199</v>
      </c>
      <c r="C108" s="2">
        <v>553</v>
      </c>
      <c r="D108" s="1">
        <v>0.64</v>
      </c>
      <c r="E108" s="1">
        <v>0</v>
      </c>
      <c r="F108" s="1" t="s">
        <v>116</v>
      </c>
      <c r="G108" s="2">
        <v>354</v>
      </c>
      <c r="H108" s="1" t="str">
        <f t="shared" si="2"/>
        <v>N/A</v>
      </c>
      <c r="I108" s="1" t="str">
        <f t="shared" ref="I108:I110" si="4">IF(D108&lt;0.2,"low",IF(D108&lt;=0.4,"medium","high"))</f>
        <v>high</v>
      </c>
    </row>
    <row r="109" spans="1:9" x14ac:dyDescent="0.35">
      <c r="A109" s="1" t="s">
        <v>112</v>
      </c>
      <c r="B109" s="2">
        <v>450</v>
      </c>
      <c r="C109" s="2">
        <v>900</v>
      </c>
      <c r="D109" s="1">
        <v>0.5</v>
      </c>
      <c r="E109" s="1">
        <v>1</v>
      </c>
      <c r="F109" s="1">
        <v>2</v>
      </c>
      <c r="G109" s="2">
        <v>450</v>
      </c>
      <c r="H109" s="1" t="str">
        <f t="shared" si="2"/>
        <v>Poor</v>
      </c>
      <c r="I109" s="1" t="str">
        <f t="shared" si="4"/>
        <v>high</v>
      </c>
    </row>
    <row r="110" spans="1:9" x14ac:dyDescent="0.35">
      <c r="A110" s="1" t="s">
        <v>113</v>
      </c>
      <c r="B110" s="2">
        <v>169</v>
      </c>
      <c r="C110" s="2">
        <v>320</v>
      </c>
      <c r="D110" s="1">
        <v>0.47</v>
      </c>
      <c r="E110" s="1">
        <v>0</v>
      </c>
      <c r="F110" s="1" t="s">
        <v>116</v>
      </c>
      <c r="G110" s="2">
        <v>151</v>
      </c>
      <c r="H110" s="1" t="str">
        <f t="shared" si="2"/>
        <v>N/A</v>
      </c>
      <c r="I110" s="1" t="str">
        <f t="shared" si="4"/>
        <v>high</v>
      </c>
    </row>
    <row r="111" spans="1:9" x14ac:dyDescent="0.35">
      <c r="B111" s="2">
        <f>AVERAGE(B2:B110)</f>
        <v>1208.2568807339449</v>
      </c>
      <c r="C111" s="2">
        <f>AVERAGE(C2:C110)</f>
        <v>1837.7522935779816</v>
      </c>
      <c r="D111" s="1">
        <f>AVERAGE(D2:D110)</f>
        <v>0.36385321100917423</v>
      </c>
      <c r="F111" s="1">
        <f>AVERAGE(F109:F110)</f>
        <v>2</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87562-0093-4CBE-B651-A73C23600456}">
  <dimension ref="A1:B115"/>
  <sheetViews>
    <sheetView workbookViewId="0"/>
  </sheetViews>
  <sheetFormatPr defaultRowHeight="14.5" x14ac:dyDescent="0.35"/>
  <cols>
    <col min="1" max="1" width="67.81640625" style="1" customWidth="1"/>
    <col min="2" max="2" width="18.36328125" style="2" bestFit="1" customWidth="1"/>
  </cols>
  <sheetData>
    <row r="1" spans="1:2" x14ac:dyDescent="0.35">
      <c r="A1" s="1" t="s">
        <v>0</v>
      </c>
      <c r="B1" s="2" t="s">
        <v>1</v>
      </c>
    </row>
    <row r="2" spans="1:2" x14ac:dyDescent="0.35">
      <c r="A2" s="1" t="s">
        <v>5</v>
      </c>
      <c r="B2" s="3">
        <v>3750</v>
      </c>
    </row>
    <row r="3" spans="1:2" x14ac:dyDescent="0.35">
      <c r="A3" s="1" t="s">
        <v>6</v>
      </c>
      <c r="B3" s="2">
        <v>3640</v>
      </c>
    </row>
    <row r="4" spans="1:2" x14ac:dyDescent="0.35">
      <c r="A4" s="1" t="s">
        <v>7</v>
      </c>
      <c r="B4" s="2">
        <v>3546</v>
      </c>
    </row>
    <row r="5" spans="1:2" x14ac:dyDescent="0.35">
      <c r="A5" s="1" t="s">
        <v>8</v>
      </c>
      <c r="B5" s="2">
        <v>2999</v>
      </c>
    </row>
    <row r="6" spans="1:2" x14ac:dyDescent="0.35">
      <c r="A6" s="1" t="s">
        <v>9</v>
      </c>
      <c r="B6" s="2">
        <v>2999</v>
      </c>
    </row>
    <row r="7" spans="1:2" x14ac:dyDescent="0.35">
      <c r="A7" s="1" t="s">
        <v>10</v>
      </c>
      <c r="B7" s="2">
        <v>2880</v>
      </c>
    </row>
    <row r="8" spans="1:2" x14ac:dyDescent="0.35">
      <c r="A8" s="1" t="s">
        <v>11</v>
      </c>
      <c r="B8" s="2">
        <v>2799</v>
      </c>
    </row>
    <row r="9" spans="1:2" x14ac:dyDescent="0.35">
      <c r="A9" s="1" t="s">
        <v>12</v>
      </c>
      <c r="B9" s="2">
        <v>2750</v>
      </c>
    </row>
    <row r="10" spans="1:2" x14ac:dyDescent="0.35">
      <c r="A10" s="1" t="s">
        <v>13</v>
      </c>
      <c r="B10" s="2">
        <v>2319</v>
      </c>
    </row>
    <row r="11" spans="1:2" x14ac:dyDescent="0.35">
      <c r="A11" s="1" t="s">
        <v>14</v>
      </c>
      <c r="B11" s="2">
        <v>2300</v>
      </c>
    </row>
    <row r="12" spans="1:2" x14ac:dyDescent="0.35">
      <c r="A12" s="1" t="s">
        <v>15</v>
      </c>
      <c r="B12" s="2">
        <v>2200</v>
      </c>
    </row>
    <row r="13" spans="1:2" x14ac:dyDescent="0.35">
      <c r="A13" s="1" t="s">
        <v>16</v>
      </c>
      <c r="B13" s="2">
        <v>2199</v>
      </c>
    </row>
    <row r="14" spans="1:2" x14ac:dyDescent="0.35">
      <c r="A14" s="1" t="s">
        <v>17</v>
      </c>
      <c r="B14" s="2">
        <v>2170</v>
      </c>
    </row>
    <row r="15" spans="1:2" x14ac:dyDescent="0.35">
      <c r="A15" s="1" t="s">
        <v>18</v>
      </c>
      <c r="B15" s="2">
        <v>2132</v>
      </c>
    </row>
    <row r="16" spans="1:2" x14ac:dyDescent="0.35">
      <c r="A16" s="1" t="s">
        <v>19</v>
      </c>
      <c r="B16" s="2">
        <v>2115</v>
      </c>
    </row>
    <row r="17" spans="1:2" x14ac:dyDescent="0.35">
      <c r="A17" s="1" t="s">
        <v>20</v>
      </c>
      <c r="B17" s="2">
        <v>2048</v>
      </c>
    </row>
    <row r="18" spans="1:2" x14ac:dyDescent="0.35">
      <c r="A18" s="1" t="s">
        <v>21</v>
      </c>
      <c r="B18" s="2">
        <v>2025</v>
      </c>
    </row>
    <row r="19" spans="1:2" x14ac:dyDescent="0.35">
      <c r="A19" s="1" t="s">
        <v>22</v>
      </c>
      <c r="B19" s="2">
        <v>1980</v>
      </c>
    </row>
    <row r="20" spans="1:2" x14ac:dyDescent="0.35">
      <c r="A20" s="1" t="s">
        <v>23</v>
      </c>
      <c r="B20" s="2">
        <v>1940</v>
      </c>
    </row>
    <row r="21" spans="1:2" x14ac:dyDescent="0.35">
      <c r="A21" s="1" t="s">
        <v>24</v>
      </c>
      <c r="B21" s="2">
        <v>1875</v>
      </c>
    </row>
    <row r="22" spans="1:2" x14ac:dyDescent="0.35">
      <c r="A22" s="1" t="s">
        <v>25</v>
      </c>
      <c r="B22" s="2">
        <v>1860</v>
      </c>
    </row>
    <row r="23" spans="1:2" x14ac:dyDescent="0.35">
      <c r="A23" s="1" t="s">
        <v>26</v>
      </c>
      <c r="B23" s="2">
        <v>1820</v>
      </c>
    </row>
    <row r="24" spans="1:2" x14ac:dyDescent="0.35">
      <c r="A24" s="1" t="s">
        <v>27</v>
      </c>
      <c r="B24" s="2">
        <v>1800</v>
      </c>
    </row>
    <row r="25" spans="1:2" x14ac:dyDescent="0.35">
      <c r="A25" s="1" t="s">
        <v>28</v>
      </c>
      <c r="B25" s="2">
        <v>1768</v>
      </c>
    </row>
    <row r="26" spans="1:2" x14ac:dyDescent="0.35">
      <c r="A26" s="1" t="s">
        <v>29</v>
      </c>
      <c r="B26" s="2">
        <v>1758</v>
      </c>
    </row>
    <row r="27" spans="1:2" x14ac:dyDescent="0.35">
      <c r="A27" s="1" t="s">
        <v>30</v>
      </c>
      <c r="B27" s="2">
        <v>1740</v>
      </c>
    </row>
    <row r="28" spans="1:2" x14ac:dyDescent="0.35">
      <c r="A28" s="1" t="s">
        <v>31</v>
      </c>
      <c r="B28" s="2">
        <v>1732</v>
      </c>
    </row>
    <row r="29" spans="1:2" x14ac:dyDescent="0.35">
      <c r="A29" s="1" t="s">
        <v>32</v>
      </c>
      <c r="B29" s="2">
        <v>1680</v>
      </c>
    </row>
    <row r="30" spans="1:2" x14ac:dyDescent="0.35">
      <c r="A30" s="1" t="s">
        <v>33</v>
      </c>
      <c r="B30" s="2">
        <v>1666</v>
      </c>
    </row>
    <row r="31" spans="1:2" x14ac:dyDescent="0.35">
      <c r="A31" s="1" t="s">
        <v>34</v>
      </c>
      <c r="B31" s="2">
        <v>1660</v>
      </c>
    </row>
    <row r="32" spans="1:2" x14ac:dyDescent="0.35">
      <c r="A32" s="1" t="s">
        <v>35</v>
      </c>
      <c r="B32" s="2">
        <v>1658</v>
      </c>
    </row>
    <row r="33" spans="1:2" x14ac:dyDescent="0.35">
      <c r="A33" s="1" t="s">
        <v>36</v>
      </c>
      <c r="B33" s="2">
        <v>1650</v>
      </c>
    </row>
    <row r="34" spans="1:2" x14ac:dyDescent="0.35">
      <c r="A34" s="1" t="s">
        <v>37</v>
      </c>
      <c r="B34" s="2">
        <v>1620</v>
      </c>
    </row>
    <row r="35" spans="1:2" x14ac:dyDescent="0.35">
      <c r="A35" s="1" t="s">
        <v>38</v>
      </c>
      <c r="B35" s="2">
        <v>1600</v>
      </c>
    </row>
    <row r="36" spans="1:2" x14ac:dyDescent="0.35">
      <c r="A36" s="1" t="s">
        <v>39</v>
      </c>
      <c r="B36" s="2">
        <v>1580</v>
      </c>
    </row>
    <row r="37" spans="1:2" x14ac:dyDescent="0.35">
      <c r="A37" s="1" t="s">
        <v>40</v>
      </c>
      <c r="B37" s="2">
        <v>1570</v>
      </c>
    </row>
    <row r="38" spans="1:2" x14ac:dyDescent="0.35">
      <c r="A38" s="1" t="s">
        <v>41</v>
      </c>
      <c r="B38" s="2">
        <v>1526</v>
      </c>
    </row>
    <row r="39" spans="1:2" x14ac:dyDescent="0.35">
      <c r="A39" s="1" t="s">
        <v>42</v>
      </c>
      <c r="B39" s="2">
        <v>1468</v>
      </c>
    </row>
    <row r="40" spans="1:2" x14ac:dyDescent="0.35">
      <c r="A40" s="1" t="s">
        <v>43</v>
      </c>
      <c r="B40" s="2">
        <v>1466</v>
      </c>
    </row>
    <row r="41" spans="1:2" x14ac:dyDescent="0.35">
      <c r="A41" s="1" t="s">
        <v>44</v>
      </c>
      <c r="B41" s="2">
        <v>1462</v>
      </c>
    </row>
    <row r="42" spans="1:2" x14ac:dyDescent="0.35">
      <c r="A42" s="1" t="s">
        <v>45</v>
      </c>
      <c r="B42" s="2">
        <v>1460</v>
      </c>
    </row>
    <row r="43" spans="1:2" x14ac:dyDescent="0.35">
      <c r="A43" s="1" t="s">
        <v>46</v>
      </c>
      <c r="B43" s="2">
        <v>1459</v>
      </c>
    </row>
    <row r="44" spans="1:2" x14ac:dyDescent="0.35">
      <c r="A44" s="1" t="s">
        <v>47</v>
      </c>
      <c r="B44" s="2">
        <v>1420</v>
      </c>
    </row>
    <row r="45" spans="1:2" x14ac:dyDescent="0.35">
      <c r="A45" s="1" t="s">
        <v>48</v>
      </c>
      <c r="B45" s="2">
        <v>1350</v>
      </c>
    </row>
    <row r="46" spans="1:2" x14ac:dyDescent="0.35">
      <c r="A46" s="1" t="s">
        <v>49</v>
      </c>
      <c r="B46" s="2">
        <v>1300</v>
      </c>
    </row>
    <row r="47" spans="1:2" x14ac:dyDescent="0.35">
      <c r="A47" s="1" t="s">
        <v>50</v>
      </c>
      <c r="B47" s="2">
        <v>1274</v>
      </c>
    </row>
    <row r="48" spans="1:2" x14ac:dyDescent="0.35">
      <c r="A48" s="1" t="s">
        <v>51</v>
      </c>
      <c r="B48" s="2">
        <v>1220</v>
      </c>
    </row>
    <row r="49" spans="1:2" x14ac:dyDescent="0.35">
      <c r="A49" s="1" t="s">
        <v>52</v>
      </c>
      <c r="B49" s="2">
        <f>AVERAGE(B1:B48)</f>
        <v>1983.6808510638298</v>
      </c>
    </row>
    <row r="50" spans="1:2" x14ac:dyDescent="0.35">
      <c r="A50" s="1" t="s">
        <v>53</v>
      </c>
      <c r="B50" s="2">
        <v>1200</v>
      </c>
    </row>
    <row r="51" spans="1:2" x14ac:dyDescent="0.35">
      <c r="A51" s="1" t="s">
        <v>54</v>
      </c>
      <c r="B51" s="2">
        <v>1200</v>
      </c>
    </row>
    <row r="52" spans="1:2" x14ac:dyDescent="0.35">
      <c r="A52" s="1" t="s">
        <v>55</v>
      </c>
      <c r="B52" s="2">
        <v>1190</v>
      </c>
    </row>
    <row r="53" spans="1:2" x14ac:dyDescent="0.35">
      <c r="A53" s="1" t="s">
        <v>56</v>
      </c>
      <c r="B53" s="2">
        <v>1190</v>
      </c>
    </row>
    <row r="54" spans="1:2" x14ac:dyDescent="0.35">
      <c r="A54" s="1" t="s">
        <v>57</v>
      </c>
      <c r="B54" s="2">
        <v>1189</v>
      </c>
    </row>
    <row r="55" spans="1:2" x14ac:dyDescent="0.35">
      <c r="A55" s="1" t="s">
        <v>58</v>
      </c>
      <c r="B55" s="2">
        <v>1150</v>
      </c>
    </row>
    <row r="56" spans="1:2" x14ac:dyDescent="0.35">
      <c r="A56" s="1" t="s">
        <v>59</v>
      </c>
      <c r="B56" s="2">
        <v>1080</v>
      </c>
    </row>
    <row r="57" spans="1:2" x14ac:dyDescent="0.35">
      <c r="A57" s="1" t="s">
        <v>60</v>
      </c>
      <c r="B57" s="2">
        <v>1000</v>
      </c>
    </row>
    <row r="58" spans="1:2" x14ac:dyDescent="0.35">
      <c r="A58" s="1" t="s">
        <v>61</v>
      </c>
      <c r="B58" s="2">
        <v>999</v>
      </c>
    </row>
    <row r="59" spans="1:2" x14ac:dyDescent="0.35">
      <c r="A59" s="1" t="s">
        <v>62</v>
      </c>
      <c r="B59" s="2">
        <v>998</v>
      </c>
    </row>
    <row r="60" spans="1:2" x14ac:dyDescent="0.35">
      <c r="A60" s="1" t="s">
        <v>63</v>
      </c>
      <c r="B60" s="2">
        <v>990</v>
      </c>
    </row>
    <row r="61" spans="1:2" x14ac:dyDescent="0.35">
      <c r="A61" s="1" t="s">
        <v>64</v>
      </c>
      <c r="B61" s="2">
        <v>990</v>
      </c>
    </row>
    <row r="62" spans="1:2" x14ac:dyDescent="0.35">
      <c r="A62" s="1" t="s">
        <v>65</v>
      </c>
      <c r="B62" s="2">
        <v>988</v>
      </c>
    </row>
    <row r="63" spans="1:2" x14ac:dyDescent="0.35">
      <c r="A63" s="1" t="s">
        <v>66</v>
      </c>
      <c r="B63" s="2">
        <v>980</v>
      </c>
    </row>
    <row r="64" spans="1:2" x14ac:dyDescent="0.35">
      <c r="A64" s="1" t="s">
        <v>67</v>
      </c>
      <c r="B64" s="2">
        <v>979</v>
      </c>
    </row>
    <row r="65" spans="1:2" x14ac:dyDescent="0.35">
      <c r="A65" s="1" t="s">
        <v>68</v>
      </c>
      <c r="B65" s="2">
        <v>968</v>
      </c>
    </row>
    <row r="66" spans="1:2" x14ac:dyDescent="0.35">
      <c r="A66" s="1" t="s">
        <v>69</v>
      </c>
      <c r="B66" s="2">
        <v>950</v>
      </c>
    </row>
    <row r="67" spans="1:2" x14ac:dyDescent="0.35">
      <c r="A67" s="1" t="s">
        <v>70</v>
      </c>
      <c r="B67" s="2">
        <v>899</v>
      </c>
    </row>
    <row r="68" spans="1:2" x14ac:dyDescent="0.35">
      <c r="A68" s="1" t="s">
        <v>71</v>
      </c>
      <c r="B68" s="2">
        <v>880</v>
      </c>
    </row>
    <row r="69" spans="1:2" x14ac:dyDescent="0.35">
      <c r="A69" s="1" t="s">
        <v>72</v>
      </c>
      <c r="B69" s="2">
        <v>850</v>
      </c>
    </row>
    <row r="70" spans="1:2" x14ac:dyDescent="0.35">
      <c r="A70" s="1" t="s">
        <v>73</v>
      </c>
      <c r="B70" s="2">
        <v>799</v>
      </c>
    </row>
    <row r="71" spans="1:2" x14ac:dyDescent="0.35">
      <c r="A71" s="1" t="s">
        <v>74</v>
      </c>
      <c r="B71" s="2">
        <v>799</v>
      </c>
    </row>
    <row r="72" spans="1:2" x14ac:dyDescent="0.35">
      <c r="A72" s="1" t="s">
        <v>75</v>
      </c>
      <c r="B72" s="2">
        <v>799</v>
      </c>
    </row>
    <row r="73" spans="1:2" x14ac:dyDescent="0.35">
      <c r="A73" s="1" t="s">
        <v>76</v>
      </c>
      <c r="B73" s="2">
        <v>799</v>
      </c>
    </row>
    <row r="74" spans="1:2" x14ac:dyDescent="0.35">
      <c r="A74" s="1" t="s">
        <v>77</v>
      </c>
      <c r="B74" s="2">
        <v>790</v>
      </c>
    </row>
    <row r="75" spans="1:2" x14ac:dyDescent="0.35">
      <c r="A75" s="1" t="s">
        <v>78</v>
      </c>
      <c r="B75" s="2">
        <v>699</v>
      </c>
    </row>
    <row r="76" spans="1:2" x14ac:dyDescent="0.35">
      <c r="A76" s="1" t="s">
        <v>79</v>
      </c>
      <c r="B76" s="2">
        <v>690</v>
      </c>
    </row>
    <row r="77" spans="1:2" x14ac:dyDescent="0.35">
      <c r="A77" s="1" t="s">
        <v>80</v>
      </c>
      <c r="B77" s="2">
        <v>671</v>
      </c>
    </row>
    <row r="78" spans="1:2" x14ac:dyDescent="0.35">
      <c r="A78" s="1" t="s">
        <v>81</v>
      </c>
      <c r="B78" s="2">
        <v>630</v>
      </c>
    </row>
    <row r="79" spans="1:2" x14ac:dyDescent="0.35">
      <c r="A79" s="1" t="s">
        <v>82</v>
      </c>
      <c r="B79" s="2">
        <v>610</v>
      </c>
    </row>
    <row r="80" spans="1:2" x14ac:dyDescent="0.35">
      <c r="A80" s="1" t="s">
        <v>83</v>
      </c>
      <c r="B80" s="2">
        <v>552</v>
      </c>
    </row>
    <row r="81" spans="1:2" x14ac:dyDescent="0.35">
      <c r="A81" s="1" t="s">
        <v>84</v>
      </c>
      <c r="B81" s="2">
        <v>527</v>
      </c>
    </row>
    <row r="82" spans="1:2" x14ac:dyDescent="0.35">
      <c r="A82" s="1" t="s">
        <v>85</v>
      </c>
      <c r="B82" s="2">
        <v>525</v>
      </c>
    </row>
    <row r="83" spans="1:2" x14ac:dyDescent="0.35">
      <c r="A83" s="1" t="s">
        <v>86</v>
      </c>
      <c r="B83" s="2">
        <v>509</v>
      </c>
    </row>
    <row r="84" spans="1:2" x14ac:dyDescent="0.35">
      <c r="A84" s="1" t="s">
        <v>87</v>
      </c>
      <c r="B84" s="2">
        <v>501</v>
      </c>
    </row>
    <row r="85" spans="1:2" x14ac:dyDescent="0.35">
      <c r="A85" s="1" t="s">
        <v>88</v>
      </c>
      <c r="B85" s="2">
        <v>499</v>
      </c>
    </row>
    <row r="86" spans="1:2" x14ac:dyDescent="0.35">
      <c r="A86" s="1" t="s">
        <v>89</v>
      </c>
      <c r="B86" s="2">
        <v>475</v>
      </c>
    </row>
    <row r="87" spans="1:2" x14ac:dyDescent="0.35">
      <c r="A87" s="1" t="s">
        <v>90</v>
      </c>
      <c r="B87" s="2">
        <v>458</v>
      </c>
    </row>
    <row r="88" spans="1:2" x14ac:dyDescent="0.35">
      <c r="A88" s="1" t="s">
        <v>91</v>
      </c>
      <c r="B88" s="2">
        <v>450</v>
      </c>
    </row>
    <row r="89" spans="1:2" x14ac:dyDescent="0.35">
      <c r="A89" s="1" t="s">
        <v>92</v>
      </c>
      <c r="B89" s="2">
        <v>445</v>
      </c>
    </row>
    <row r="90" spans="1:2" x14ac:dyDescent="0.35">
      <c r="A90" s="1" t="s">
        <v>93</v>
      </c>
      <c r="B90" s="2">
        <v>420</v>
      </c>
    </row>
    <row r="91" spans="1:2" x14ac:dyDescent="0.35">
      <c r="A91" s="1" t="s">
        <v>94</v>
      </c>
      <c r="B91" s="2">
        <v>389</v>
      </c>
    </row>
    <row r="92" spans="1:2" x14ac:dyDescent="0.35">
      <c r="A92" s="1" t="s">
        <v>95</v>
      </c>
      <c r="B92" s="2">
        <v>382</v>
      </c>
    </row>
    <row r="93" spans="1:2" x14ac:dyDescent="0.35">
      <c r="A93" s="1" t="s">
        <v>96</v>
      </c>
      <c r="B93" s="2">
        <v>345</v>
      </c>
    </row>
    <row r="94" spans="1:2" x14ac:dyDescent="0.35">
      <c r="A94" s="1" t="s">
        <v>97</v>
      </c>
      <c r="B94" s="2">
        <v>332</v>
      </c>
    </row>
    <row r="95" spans="1:2" x14ac:dyDescent="0.35">
      <c r="A95" s="1" t="s">
        <v>98</v>
      </c>
      <c r="B95" s="2">
        <v>330</v>
      </c>
    </row>
    <row r="96" spans="1:2" x14ac:dyDescent="0.35">
      <c r="A96" s="1" t="s">
        <v>99</v>
      </c>
      <c r="B96" s="2">
        <v>325</v>
      </c>
    </row>
    <row r="97" spans="1:2" x14ac:dyDescent="0.35">
      <c r="A97" s="1" t="s">
        <v>100</v>
      </c>
      <c r="B97" s="2">
        <v>299</v>
      </c>
    </row>
    <row r="98" spans="1:2" x14ac:dyDescent="0.35">
      <c r="A98" s="1" t="s">
        <v>101</v>
      </c>
      <c r="B98" s="2">
        <v>299</v>
      </c>
    </row>
    <row r="99" spans="1:2" x14ac:dyDescent="0.35">
      <c r="A99" s="1" t="s">
        <v>102</v>
      </c>
      <c r="B99" s="2">
        <v>274</v>
      </c>
    </row>
    <row r="100" spans="1:2" x14ac:dyDescent="0.35">
      <c r="A100" s="1" t="s">
        <v>103</v>
      </c>
      <c r="B100" s="2">
        <v>248</v>
      </c>
    </row>
    <row r="101" spans="1:2" x14ac:dyDescent="0.35">
      <c r="A101" s="1" t="s">
        <v>104</v>
      </c>
      <c r="B101" s="2">
        <v>238</v>
      </c>
    </row>
    <row r="102" spans="1:2" x14ac:dyDescent="0.35">
      <c r="A102" s="1" t="s">
        <v>105</v>
      </c>
      <c r="B102" s="2">
        <v>230</v>
      </c>
    </row>
    <row r="103" spans="1:2" x14ac:dyDescent="0.35">
      <c r="A103" s="1" t="s">
        <v>106</v>
      </c>
      <c r="B103" s="2">
        <v>199</v>
      </c>
    </row>
    <row r="104" spans="1:2" x14ac:dyDescent="0.35">
      <c r="A104" s="1" t="s">
        <v>107</v>
      </c>
      <c r="B104" s="2">
        <v>199</v>
      </c>
    </row>
    <row r="105" spans="1:2" x14ac:dyDescent="0.35">
      <c r="A105" s="1" t="s">
        <v>108</v>
      </c>
      <c r="B105" s="2">
        <v>198</v>
      </c>
    </row>
    <row r="106" spans="1:2" x14ac:dyDescent="0.35">
      <c r="A106" s="1" t="s">
        <v>109</v>
      </c>
      <c r="B106" s="2">
        <v>195</v>
      </c>
    </row>
    <row r="107" spans="1:2" x14ac:dyDescent="0.35">
      <c r="A107" s="1" t="s">
        <v>110</v>
      </c>
      <c r="B107" s="2">
        <v>185</v>
      </c>
    </row>
    <row r="108" spans="1:2" x14ac:dyDescent="0.35">
      <c r="A108" s="1" t="s">
        <v>111</v>
      </c>
      <c r="B108" s="2">
        <v>171</v>
      </c>
    </row>
    <row r="109" spans="1:2" x14ac:dyDescent="0.35">
      <c r="A109" s="1" t="s">
        <v>112</v>
      </c>
      <c r="B109" s="2">
        <v>169</v>
      </c>
    </row>
    <row r="110" spans="1:2" x14ac:dyDescent="0.35">
      <c r="A110" s="1" t="s">
        <v>113</v>
      </c>
      <c r="B110" s="4">
        <v>105</v>
      </c>
    </row>
    <row r="114" spans="2:2" x14ac:dyDescent="0.35">
      <c r="B114" s="2" t="s">
        <v>120</v>
      </c>
    </row>
    <row r="115" spans="2:2" x14ac:dyDescent="0.35">
      <c r="B115" s="2" t="s">
        <v>121</v>
      </c>
    </row>
  </sheetData>
  <autoFilter ref="B1:B111" xr:uid="{C7087562-0093-4CBE-B651-A73C23600456}">
    <sortState xmlns:xlrd2="http://schemas.microsoft.com/office/spreadsheetml/2017/richdata2" ref="B2:B111">
      <sortCondition descending="1" ref="B1:B111"/>
    </sortState>
  </autoFilter>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E4ABC-84A1-4C70-8CBF-D7FE8C6CFCCA}">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Average Rting by Discount and c</vt:lpstr>
      <vt:lpstr>product count</vt:lpstr>
      <vt:lpstr>Relationship(dis and Reviews</vt:lpstr>
      <vt:lpstr>Sheet17</vt:lpstr>
      <vt:lpstr>Rating and Review</vt:lpstr>
      <vt:lpstr>10 Products with high D</vt:lpstr>
      <vt:lpstr>10 products with more views</vt:lpstr>
      <vt:lpstr>TOP 5 AND BOTTOM 5</vt:lpstr>
      <vt:lpstr>AVG RATING BY REVIEWS ON DISC</vt:lpstr>
      <vt:lpstr>PRODUCT CONT TO AVERAGE R</vt:lpstr>
      <vt:lpstr>Avg Disc and COUNT OF Reviews</vt:lpstr>
      <vt:lpstr>Dahbord</vt:lpstr>
      <vt:lpstr>Excel_jumia</vt:lpstr>
      <vt:lpstr>Product price  comparison</vt:lpstr>
      <vt:lpstr>Sheet18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Wickliff Odoyo</dc:creator>
  <cp:lastModifiedBy>Wickliff Odoyo</cp:lastModifiedBy>
  <dcterms:created xsi:type="dcterms:W3CDTF">2026-01-26T07:23:21Z</dcterms:created>
  <dcterms:modified xsi:type="dcterms:W3CDTF">2026-01-30T19:55:13Z</dcterms:modified>
</cp:coreProperties>
</file>